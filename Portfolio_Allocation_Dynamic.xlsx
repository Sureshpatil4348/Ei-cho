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ureshpatil/Desktop/Portfolio Creation/"/>
    </mc:Choice>
  </mc:AlternateContent>
  <xr:revisionPtr revIDLastSave="0" documentId="13_ncr:1_{CB8B1E9D-E984-D74B-8790-3C5743F357EC}" xr6:coauthVersionLast="47" xr6:coauthVersionMax="47" xr10:uidLastSave="{00000000-0000-0000-0000-000000000000}"/>
  <bookViews>
    <workbookView xWindow="-3200" yWindow="-21600" windowWidth="38400" windowHeight="21600" xr2:uid="{00000000-000D-0000-FFFF-FFFF00000000}"/>
  </bookViews>
  <sheets>
    <sheet name="Portfolio Al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" l="1"/>
  <c r="H75" i="1" s="1"/>
  <c r="E22" i="1" s="1"/>
  <c r="F22" i="1" s="1"/>
  <c r="F73" i="1"/>
  <c r="H73" i="1" s="1"/>
  <c r="E18" i="1" s="1"/>
  <c r="F18" i="1" s="1"/>
  <c r="H72" i="1"/>
  <c r="F72" i="1"/>
  <c r="H71" i="1"/>
  <c r="F71" i="1"/>
  <c r="H70" i="1"/>
  <c r="F70" i="1"/>
  <c r="H69" i="1"/>
  <c r="F69" i="1"/>
  <c r="H68" i="1"/>
  <c r="F68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0" i="1"/>
  <c r="F50" i="1"/>
  <c r="H49" i="1"/>
  <c r="F49" i="1"/>
  <c r="H48" i="1"/>
  <c r="F48" i="1"/>
  <c r="H47" i="1"/>
  <c r="F47" i="1"/>
  <c r="H46" i="1"/>
  <c r="F46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5" i="1"/>
  <c r="F35" i="1"/>
  <c r="H34" i="1"/>
  <c r="F34" i="1"/>
  <c r="H32" i="1"/>
  <c r="F32" i="1"/>
  <c r="H31" i="1"/>
  <c r="F31" i="1"/>
  <c r="H29" i="1"/>
  <c r="H77" i="1" s="1"/>
  <c r="F29" i="1"/>
  <c r="F77" i="1" s="1"/>
  <c r="H28" i="1"/>
  <c r="F28" i="1"/>
  <c r="C23" i="1"/>
  <c r="B23" i="1"/>
  <c r="D22" i="1"/>
  <c r="E21" i="1"/>
  <c r="D21" i="1"/>
  <c r="F21" i="1" s="1"/>
  <c r="E20" i="1"/>
  <c r="D20" i="1"/>
  <c r="F20" i="1" s="1"/>
  <c r="E19" i="1"/>
  <c r="F19" i="1" s="1"/>
  <c r="D19" i="1"/>
  <c r="D18" i="1"/>
  <c r="E17" i="1"/>
  <c r="D17" i="1"/>
  <c r="F17" i="1" s="1"/>
  <c r="E16" i="1"/>
  <c r="D16" i="1"/>
  <c r="F16" i="1" s="1"/>
  <c r="E15" i="1"/>
  <c r="F15" i="1" s="1"/>
  <c r="D15" i="1"/>
  <c r="D23" i="1" s="1"/>
  <c r="B8" i="1"/>
  <c r="E23" i="1" l="1"/>
  <c r="B9" i="1" s="1"/>
  <c r="B10" i="1" s="1"/>
  <c r="F23" i="1" l="1"/>
</calcChain>
</file>

<file path=xl/sharedStrings.xml><?xml version="1.0" encoding="utf-8"?>
<sst xmlns="http://schemas.openxmlformats.org/spreadsheetml/2006/main" count="161" uniqueCount="71">
  <si>
    <t>PORTFOLIO ALLOCATION SIMULATOR</t>
  </si>
  <si>
    <t>STARTING BALANCE:</t>
  </si>
  <si>
    <t>← CHANGE THIS VALUE</t>
  </si>
  <si>
    <t>PORTFOLIO SUMMARY</t>
  </si>
  <si>
    <t>Total Strategies:</t>
  </si>
  <si>
    <t>Total Trading Pairs:</t>
  </si>
  <si>
    <t>Total Allocated Capital:</t>
  </si>
  <si>
    <t>Expected Annual Profit:</t>
  </si>
  <si>
    <t>Expected Annual Return:</t>
  </si>
  <si>
    <t>STRATEGY ALLOCATION SUMMARY</t>
  </si>
  <si>
    <t>Strategy</t>
  </si>
  <si>
    <t>Pairs</t>
  </si>
  <si>
    <t>Weight %</t>
  </si>
  <si>
    <t>Allocated Capital</t>
  </si>
  <si>
    <t>Expected Profit</t>
  </si>
  <si>
    <t>Return %</t>
  </si>
  <si>
    <t>7th_Strategy</t>
  </si>
  <si>
    <t>Falcon</t>
  </si>
  <si>
    <t>Gold_Dip</t>
  </si>
  <si>
    <t>RSI_Correlation</t>
  </si>
  <si>
    <t>RSI_6_Trades</t>
  </si>
  <si>
    <t>AURUM</t>
  </si>
  <si>
    <t>PairTradingEA</t>
  </si>
  <si>
    <t>Reversal_Strategy</t>
  </si>
  <si>
    <t>TOTAL</t>
  </si>
  <si>
    <t>DETAILED PAIR ALLOCATION</t>
  </si>
  <si>
    <t>Pair</t>
  </si>
  <si>
    <t>Strategy Weight %</t>
  </si>
  <si>
    <t>Pair Weight %</t>
  </si>
  <si>
    <t>Allocation Method</t>
  </si>
  <si>
    <t>Annual Return %</t>
  </si>
  <si>
    <t>Sharpe Ratio</t>
  </si>
  <si>
    <t>Max Drawdown</t>
  </si>
  <si>
    <t>Required Capital</t>
  </si>
  <si>
    <t>XAGUSD</t>
  </si>
  <si>
    <t>Sharpe</t>
  </si>
  <si>
    <t>XAUUSD</t>
  </si>
  <si>
    <t>USDJPY_Grid</t>
  </si>
  <si>
    <t>Risk Parity</t>
  </si>
  <si>
    <t>XAUUSD_Grid</t>
  </si>
  <si>
    <t>V5</t>
  </si>
  <si>
    <t>v5-v2 - Tp 60,SL 60 all day</t>
  </si>
  <si>
    <t>EURJPY</t>
  </si>
  <si>
    <t>EURCHF</t>
  </si>
  <si>
    <t>EURUSD</t>
  </si>
  <si>
    <t>USDCAD</t>
  </si>
  <si>
    <t>AUDUSD</t>
  </si>
  <si>
    <t>AUDJPY</t>
  </si>
  <si>
    <t>GBPUSD</t>
  </si>
  <si>
    <t>EURAUD</t>
  </si>
  <si>
    <t>AUDUSD_AUDCAD</t>
  </si>
  <si>
    <t>Max Sharpe</t>
  </si>
  <si>
    <t>EURGBP_GBPCHF</t>
  </si>
  <si>
    <t>USDCAD_AUDCHF</t>
  </si>
  <si>
    <t>EURUSD_AUDUSD</t>
  </si>
  <si>
    <t>EURUSD_GBPUSD</t>
  </si>
  <si>
    <t>GBPAUD</t>
  </si>
  <si>
    <t>GBPCAD</t>
  </si>
  <si>
    <t>USDCHF</t>
  </si>
  <si>
    <t>CADCHF</t>
  </si>
  <si>
    <t>EURCAD</t>
  </si>
  <si>
    <t>NZDCHF</t>
  </si>
  <si>
    <t>GBPCHF</t>
  </si>
  <si>
    <t>USDJPY</t>
  </si>
  <si>
    <t>EURGBP</t>
  </si>
  <si>
    <t>Inv Vol</t>
  </si>
  <si>
    <t>GBPUSD_USDCHF</t>
  </si>
  <si>
    <t>AUDUSD_GBPNZD</t>
  </si>
  <si>
    <t>GBPUSD_USDCAD</t>
  </si>
  <si>
    <t>EURAUD_CADCHF</t>
  </si>
  <si>
    <t>ALL_PAIRS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</si>
</sst>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8"/>
      <color rgb="FF2F5496"/>
      <name val="Calibri"/>
      <family val="2"/>
    </font>
    <font>
      <b/>
      <sz val="14"/>
      <name val="Calibri"/>
      <family val="2"/>
    </font>
    <font>
      <b/>
      <sz val="14"/>
      <color rgb="FF008000"/>
      <name val="Calibri"/>
      <family val="2"/>
    </font>
    <font>
      <i/>
      <sz val="11"/>
      <color rgb="FFFF0000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0" fontId="4" fillId="0" borderId="0" xfId="0" applyFont="1"/>
    <xf numFmtId="0" fontId="6" fillId="0" borderId="0" xfId="0" applyFont="1"/>
    <xf numFmtId="0" fontId="7" fillId="0" borderId="0" xfId="0" applyFont="1"/>
    <xf numFmtId="164" fontId="7" fillId="4" borderId="0" xfId="0" applyNumberFormat="1" applyFont="1" applyFill="1"/>
    <xf numFmtId="10" fontId="7" fillId="4" borderId="0" xfId="0" applyNumberFormat="1" applyFont="1" applyFill="1"/>
    <xf numFmtId="0" fontId="6" fillId="5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164" fontId="0" fillId="4" borderId="2" xfId="0" applyNumberFormat="1" applyFill="1" applyBorder="1"/>
    <xf numFmtId="10" fontId="0" fillId="4" borderId="2" xfId="0" applyNumberFormat="1" applyFill="1" applyBorder="1"/>
    <xf numFmtId="0" fontId="7" fillId="6" borderId="2" xfId="0" applyFont="1" applyFill="1" applyBorder="1"/>
    <xf numFmtId="10" fontId="7" fillId="6" borderId="2" xfId="0" applyNumberFormat="1" applyFont="1" applyFill="1" applyBorder="1"/>
    <xf numFmtId="164" fontId="7" fillId="6" borderId="2" xfId="0" applyNumberFormat="1" applyFont="1" applyFill="1" applyBorder="1"/>
    <xf numFmtId="0" fontId="6" fillId="5" borderId="2" xfId="0" applyFont="1" applyFill="1" applyBorder="1" applyAlignment="1">
      <alignment horizontal="center" wrapText="1"/>
    </xf>
    <xf numFmtId="10" fontId="0" fillId="0" borderId="2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0" fontId="0" fillId="6" borderId="2" xfId="0" applyFill="1" applyBorder="1"/>
    <xf numFmtId="0" fontId="5" fillId="3" borderId="0" xfId="0" applyFont="1" applyFill="1"/>
    <xf numFmtId="0" fontId="0" fillId="0" borderId="0" xfId="0"/>
    <xf numFmtId="0" fontId="1" fillId="0" borderId="0" xfId="0" applyFont="1"/>
    <xf numFmtId="0" fontId="7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3" width="16" customWidth="1"/>
    <col min="4" max="4" width="14" customWidth="1"/>
    <col min="5" max="6" width="18" customWidth="1"/>
    <col min="7" max="7" width="16" customWidth="1"/>
    <col min="8" max="8" width="18" customWidth="1"/>
    <col min="9" max="9" width="12" customWidth="1"/>
    <col min="10" max="10" width="14" customWidth="1"/>
    <col min="11" max="11" width="16" customWidth="1"/>
  </cols>
  <sheetData>
    <row r="1" spans="1:8" ht="24" x14ac:dyDescent="0.3">
      <c r="A1" s="24" t="s">
        <v>0</v>
      </c>
      <c r="B1" s="23"/>
      <c r="C1" s="23"/>
      <c r="D1" s="23"/>
      <c r="E1" s="23"/>
      <c r="F1" s="23"/>
      <c r="G1" s="23"/>
      <c r="H1" s="23"/>
    </row>
    <row r="3" spans="1:8" ht="19" x14ac:dyDescent="0.25">
      <c r="A3" s="1" t="s">
        <v>1</v>
      </c>
      <c r="B3" s="2">
        <v>100000</v>
      </c>
      <c r="C3" s="3" t="s">
        <v>2</v>
      </c>
    </row>
    <row r="5" spans="1:8" ht="19" x14ac:dyDescent="0.25">
      <c r="A5" s="22" t="s">
        <v>3</v>
      </c>
      <c r="B5" s="23"/>
      <c r="C5" s="23"/>
      <c r="D5" s="23"/>
    </row>
    <row r="6" spans="1:8" x14ac:dyDescent="0.2">
      <c r="A6" s="4" t="s">
        <v>4</v>
      </c>
      <c r="B6" s="5">
        <v>8</v>
      </c>
    </row>
    <row r="7" spans="1:8" x14ac:dyDescent="0.2">
      <c r="A7" s="4" t="s">
        <v>5</v>
      </c>
      <c r="B7" s="5">
        <v>41</v>
      </c>
    </row>
    <row r="8" spans="1:8" x14ac:dyDescent="0.2">
      <c r="A8" s="4" t="s">
        <v>6</v>
      </c>
      <c r="B8" s="6">
        <f>B3</f>
        <v>100000</v>
      </c>
    </row>
    <row r="9" spans="1:8" x14ac:dyDescent="0.2">
      <c r="A9" s="4" t="s">
        <v>7</v>
      </c>
      <c r="B9" s="6">
        <f>E23</f>
        <v>25042.342342896343</v>
      </c>
    </row>
    <row r="10" spans="1:8" x14ac:dyDescent="0.2">
      <c r="A10" s="4" t="s">
        <v>8</v>
      </c>
      <c r="B10" s="7">
        <f>IF(B8&gt;0,B9/B8,0)</f>
        <v>0.25042342342896345</v>
      </c>
    </row>
    <row r="13" spans="1:8" ht="19" x14ac:dyDescent="0.25">
      <c r="A13" s="22" t="s">
        <v>9</v>
      </c>
      <c r="B13" s="23"/>
      <c r="C13" s="23"/>
      <c r="D13" s="23"/>
      <c r="E13" s="23"/>
      <c r="F13" s="23"/>
    </row>
    <row r="14" spans="1:8" x14ac:dyDescent="0.2">
      <c r="A14" s="8" t="s">
        <v>10</v>
      </c>
      <c r="B14" s="8" t="s">
        <v>11</v>
      </c>
      <c r="C14" s="8" t="s">
        <v>12</v>
      </c>
      <c r="D14" s="8" t="s">
        <v>13</v>
      </c>
      <c r="E14" s="8" t="s">
        <v>14</v>
      </c>
      <c r="F14" s="8" t="s">
        <v>15</v>
      </c>
    </row>
    <row r="15" spans="1:8" x14ac:dyDescent="0.2">
      <c r="A15" s="9" t="s">
        <v>16</v>
      </c>
      <c r="B15" s="10">
        <v>2</v>
      </c>
      <c r="C15" s="11">
        <v>0.125</v>
      </c>
      <c r="D15" s="12">
        <f>B3*C15</f>
        <v>12500</v>
      </c>
      <c r="E15" s="12">
        <f>SUMIF(A28:A75,A15,H28:H75)</f>
        <v>3771.9483581481177</v>
      </c>
      <c r="F15" s="13">
        <f t="shared" ref="F15:F23" si="0">IF(D15&gt;0,E15/D15,0)</f>
        <v>0.30175586865184939</v>
      </c>
    </row>
    <row r="16" spans="1:8" x14ac:dyDescent="0.2">
      <c r="A16" s="9" t="s">
        <v>17</v>
      </c>
      <c r="B16" s="10">
        <v>2</v>
      </c>
      <c r="C16" s="11">
        <v>0.125</v>
      </c>
      <c r="D16" s="12">
        <f>B3*C16</f>
        <v>12500</v>
      </c>
      <c r="E16" s="12">
        <f>SUMIF(A28:A75,A16,H28:H75)</f>
        <v>4118.3182597416453</v>
      </c>
      <c r="F16" s="13">
        <f t="shared" si="0"/>
        <v>0.32946546077933164</v>
      </c>
    </row>
    <row r="17" spans="1:11" x14ac:dyDescent="0.2">
      <c r="A17" s="9" t="s">
        <v>18</v>
      </c>
      <c r="B17" s="10">
        <v>8</v>
      </c>
      <c r="C17" s="11">
        <v>0.125</v>
      </c>
      <c r="D17" s="12">
        <f>B3*C17</f>
        <v>12500</v>
      </c>
      <c r="E17" s="12">
        <f>SUMIF(A28:A75,A17,H28:H75)</f>
        <v>4479.6629008235759</v>
      </c>
      <c r="F17" s="13">
        <f t="shared" si="0"/>
        <v>0.35837303206588605</v>
      </c>
    </row>
    <row r="18" spans="1:11" x14ac:dyDescent="0.2">
      <c r="A18" s="9" t="s">
        <v>19</v>
      </c>
      <c r="B18" s="10">
        <v>6</v>
      </c>
      <c r="C18" s="11">
        <v>0.125</v>
      </c>
      <c r="D18" s="12">
        <f>B3*C18</f>
        <v>12500</v>
      </c>
      <c r="E18" s="12">
        <f>SUMIF(A28:A75,A18,H28:H75)</f>
        <v>2457.1164074274925</v>
      </c>
      <c r="F18" s="13">
        <f t="shared" si="0"/>
        <v>0.19656931259419941</v>
      </c>
    </row>
    <row r="19" spans="1:11" x14ac:dyDescent="0.2">
      <c r="A19" s="9" t="s">
        <v>20</v>
      </c>
      <c r="B19" s="10">
        <v>15</v>
      </c>
      <c r="C19" s="11">
        <v>0.125</v>
      </c>
      <c r="D19" s="12">
        <f>B3*C19</f>
        <v>12500</v>
      </c>
      <c r="E19" s="12">
        <f>SUMIF(A28:A75,A19,H28:H75)</f>
        <v>1865.062908131998</v>
      </c>
      <c r="F19" s="13">
        <f t="shared" si="0"/>
        <v>0.14920503265055984</v>
      </c>
    </row>
    <row r="20" spans="1:11" x14ac:dyDescent="0.2">
      <c r="A20" s="9" t="s">
        <v>21</v>
      </c>
      <c r="B20" s="10">
        <v>2</v>
      </c>
      <c r="C20" s="11">
        <v>0.125</v>
      </c>
      <c r="D20" s="12">
        <f>B3*C20</f>
        <v>12500</v>
      </c>
      <c r="E20" s="12">
        <f>SUMIF(A28:A75,A20,H28:H75)</f>
        <v>2564.5203334377829</v>
      </c>
      <c r="F20" s="13">
        <f t="shared" si="0"/>
        <v>0.20516162667502263</v>
      </c>
    </row>
    <row r="21" spans="1:11" x14ac:dyDescent="0.2">
      <c r="A21" s="9" t="s">
        <v>22</v>
      </c>
      <c r="B21" s="10">
        <v>5</v>
      </c>
      <c r="C21" s="11">
        <v>0.125</v>
      </c>
      <c r="D21" s="12">
        <f>B3*C21</f>
        <v>12500</v>
      </c>
      <c r="E21" s="12">
        <f>SUMIF(A28:A75,A21,H28:H75)</f>
        <v>2728.8595557003132</v>
      </c>
      <c r="F21" s="13">
        <f t="shared" si="0"/>
        <v>0.21830876445602507</v>
      </c>
    </row>
    <row r="22" spans="1:11" x14ac:dyDescent="0.2">
      <c r="A22" s="9" t="s">
        <v>23</v>
      </c>
      <c r="B22" s="10">
        <v>1</v>
      </c>
      <c r="C22" s="11">
        <v>0.125</v>
      </c>
      <c r="D22" s="12">
        <f>B3*C22</f>
        <v>12500</v>
      </c>
      <c r="E22" s="12">
        <f>SUMIF(A28:A75,A22,H28:H75)</f>
        <v>3056.8536194854173</v>
      </c>
      <c r="F22" s="13">
        <f t="shared" si="0"/>
        <v>0.2445482895588334</v>
      </c>
    </row>
    <row r="23" spans="1:11" x14ac:dyDescent="0.2">
      <c r="A23" s="14" t="s">
        <v>24</v>
      </c>
      <c r="B23" s="25">
        <f>SUM(B15:B22)</f>
        <v>41</v>
      </c>
      <c r="C23" s="15">
        <f>SUM(C15:C22)</f>
        <v>1</v>
      </c>
      <c r="D23" s="16">
        <f>SUM(D15:D22)</f>
        <v>100000</v>
      </c>
      <c r="E23" s="16">
        <f>SUM(E15:E22)</f>
        <v>25042.342342896343</v>
      </c>
      <c r="F23" s="15">
        <f t="shared" si="0"/>
        <v>0.25042342342896345</v>
      </c>
    </row>
    <row r="26" spans="1:11" ht="19" x14ac:dyDescent="0.25">
      <c r="A26" s="22" t="s">
        <v>25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6" x14ac:dyDescent="0.2">
      <c r="A27" s="17" t="s">
        <v>10</v>
      </c>
      <c r="B27" s="17" t="s">
        <v>26</v>
      </c>
      <c r="C27" s="17" t="s">
        <v>27</v>
      </c>
      <c r="D27" s="17" t="s">
        <v>28</v>
      </c>
      <c r="E27" s="17" t="s">
        <v>29</v>
      </c>
      <c r="F27" s="17" t="s">
        <v>13</v>
      </c>
      <c r="G27" s="17" t="s">
        <v>30</v>
      </c>
      <c r="H27" s="17" t="s">
        <v>14</v>
      </c>
      <c r="I27" s="17" t="s">
        <v>31</v>
      </c>
      <c r="J27" s="17" t="s">
        <v>32</v>
      </c>
      <c r="K27" s="17" t="s">
        <v>33</v>
      </c>
    </row>
    <row r="28" spans="1:11" x14ac:dyDescent="0.2">
      <c r="A28" s="9" t="s">
        <v>16</v>
      </c>
      <c r="B28" s="9" t="s">
        <v>34</v>
      </c>
      <c r="C28" s="18">
        <v>0.125</v>
      </c>
      <c r="D28" s="18">
        <v>0.5222</v>
      </c>
      <c r="E28" s="9" t="s">
        <v>35</v>
      </c>
      <c r="F28" s="12">
        <f>B3*C28*D28</f>
        <v>6527.5</v>
      </c>
      <c r="G28" s="18">
        <v>0.2832023821672856</v>
      </c>
      <c r="H28" s="12">
        <f>F28*G28</f>
        <v>1848.6035495969568</v>
      </c>
      <c r="I28" s="19">
        <v>1.53</v>
      </c>
      <c r="J28" s="20">
        <v>752</v>
      </c>
      <c r="K28" s="20">
        <v>1504</v>
      </c>
    </row>
    <row r="29" spans="1:11" x14ac:dyDescent="0.2">
      <c r="A29" s="9" t="s">
        <v>16</v>
      </c>
      <c r="B29" s="9" t="s">
        <v>36</v>
      </c>
      <c r="C29" s="18">
        <v>0.125</v>
      </c>
      <c r="D29" s="18">
        <v>0.4778</v>
      </c>
      <c r="E29" s="9" t="s">
        <v>35</v>
      </c>
      <c r="F29" s="12">
        <f>B3*C29*D29</f>
        <v>5972.5</v>
      </c>
      <c r="G29" s="18">
        <v>0.3220334547595079</v>
      </c>
      <c r="H29" s="12">
        <f>F29*G29</f>
        <v>1923.3448085511609</v>
      </c>
      <c r="I29" s="19">
        <v>1.4</v>
      </c>
      <c r="J29" s="20">
        <v>580</v>
      </c>
      <c r="K29" s="20">
        <v>1160</v>
      </c>
    </row>
    <row r="31" spans="1:11" x14ac:dyDescent="0.2">
      <c r="A31" s="9" t="s">
        <v>21</v>
      </c>
      <c r="B31" s="9" t="s">
        <v>37</v>
      </c>
      <c r="C31" s="18">
        <v>0.125</v>
      </c>
      <c r="D31" s="18">
        <v>0.63479999999999992</v>
      </c>
      <c r="E31" s="9" t="s">
        <v>38</v>
      </c>
      <c r="F31" s="12">
        <f>B3*C31*D31</f>
        <v>7934.9999999999991</v>
      </c>
      <c r="G31" s="18">
        <v>0.1575684854596989</v>
      </c>
      <c r="H31" s="12">
        <f>F31*G31</f>
        <v>1250.3059321227106</v>
      </c>
      <c r="I31" s="19">
        <v>5.77</v>
      </c>
      <c r="J31" s="20">
        <v>3319</v>
      </c>
      <c r="K31" s="20">
        <v>6638</v>
      </c>
    </row>
    <row r="32" spans="1:11" x14ac:dyDescent="0.2">
      <c r="A32" s="9" t="s">
        <v>21</v>
      </c>
      <c r="B32" s="9" t="s">
        <v>39</v>
      </c>
      <c r="C32" s="18">
        <v>0.125</v>
      </c>
      <c r="D32" s="18">
        <v>0.36520000000000002</v>
      </c>
      <c r="E32" s="9" t="s">
        <v>38</v>
      </c>
      <c r="F32" s="12">
        <f>B3*C32*D32</f>
        <v>4565</v>
      </c>
      <c r="G32" s="18">
        <v>0.28788924453780329</v>
      </c>
      <c r="H32" s="12">
        <f>F32*G32</f>
        <v>1314.2144013150721</v>
      </c>
      <c r="I32" s="19">
        <v>2</v>
      </c>
      <c r="J32" s="20">
        <v>6752</v>
      </c>
      <c r="K32" s="20">
        <v>13504</v>
      </c>
    </row>
    <row r="34" spans="1:11" x14ac:dyDescent="0.2">
      <c r="A34" s="9" t="s">
        <v>17</v>
      </c>
      <c r="B34" s="9" t="s">
        <v>40</v>
      </c>
      <c r="C34" s="18">
        <v>0.125</v>
      </c>
      <c r="D34" s="18">
        <v>0.69379999999999997</v>
      </c>
      <c r="E34" s="9" t="s">
        <v>38</v>
      </c>
      <c r="F34" s="12">
        <f>B3*C34*D34</f>
        <v>8672.5</v>
      </c>
      <c r="G34" s="18">
        <v>0.35841800574389149</v>
      </c>
      <c r="H34" s="12">
        <f>F34*G34</f>
        <v>3108.380154813899</v>
      </c>
      <c r="I34" s="19">
        <v>1.26</v>
      </c>
      <c r="J34" s="20">
        <v>556</v>
      </c>
      <c r="K34" s="20">
        <v>1112</v>
      </c>
    </row>
    <row r="35" spans="1:11" x14ac:dyDescent="0.2">
      <c r="A35" s="9" t="s">
        <v>17</v>
      </c>
      <c r="B35" s="9" t="s">
        <v>41</v>
      </c>
      <c r="C35" s="18">
        <v>0.125</v>
      </c>
      <c r="D35" s="18">
        <v>0.30620000000000003</v>
      </c>
      <c r="E35" s="9" t="s">
        <v>38</v>
      </c>
      <c r="F35" s="12">
        <f>B3*C35*D35</f>
        <v>3827.5000000000005</v>
      </c>
      <c r="G35" s="18">
        <v>0.26386364596414019</v>
      </c>
      <c r="H35" s="12">
        <f>F35*G35</f>
        <v>1009.9381049277467</v>
      </c>
      <c r="I35" s="19">
        <v>0.85</v>
      </c>
      <c r="J35" s="20">
        <v>2860</v>
      </c>
      <c r="K35" s="20">
        <v>5720</v>
      </c>
    </row>
    <row r="37" spans="1:11" x14ac:dyDescent="0.2">
      <c r="A37" s="9" t="s">
        <v>18</v>
      </c>
      <c r="B37" s="9" t="s">
        <v>42</v>
      </c>
      <c r="C37" s="18">
        <v>0.125</v>
      </c>
      <c r="D37" s="18">
        <v>0.27110000000000001</v>
      </c>
      <c r="E37" s="9" t="s">
        <v>38</v>
      </c>
      <c r="F37" s="12">
        <f>B3*C37*D37</f>
        <v>3388.75</v>
      </c>
      <c r="G37" s="18">
        <v>0.44153906110968588</v>
      </c>
      <c r="H37" s="12">
        <f t="shared" ref="H37:H44" si="1">F37*G37</f>
        <v>1496.2654933354481</v>
      </c>
      <c r="I37" s="19">
        <v>4.5199999999999996</v>
      </c>
      <c r="J37" s="20">
        <v>93.2</v>
      </c>
      <c r="K37" s="20">
        <v>186.4</v>
      </c>
    </row>
    <row r="38" spans="1:11" x14ac:dyDescent="0.2">
      <c r="A38" s="9" t="s">
        <v>18</v>
      </c>
      <c r="B38" s="9" t="s">
        <v>43</v>
      </c>
      <c r="C38" s="18">
        <v>0.125</v>
      </c>
      <c r="D38" s="18">
        <v>0.25309999999999999</v>
      </c>
      <c r="E38" s="9" t="s">
        <v>38</v>
      </c>
      <c r="F38" s="12">
        <f>B3*C38*D38</f>
        <v>3163.75</v>
      </c>
      <c r="G38" s="18">
        <v>0.47127271300184448</v>
      </c>
      <c r="H38" s="12">
        <f t="shared" si="1"/>
        <v>1490.9890457595855</v>
      </c>
      <c r="I38" s="19">
        <v>5.26</v>
      </c>
      <c r="J38" s="20">
        <v>116.2</v>
      </c>
      <c r="K38" s="20">
        <v>232.4</v>
      </c>
    </row>
    <row r="39" spans="1:11" x14ac:dyDescent="0.2">
      <c r="A39" s="9" t="s">
        <v>18</v>
      </c>
      <c r="B39" s="9" t="s">
        <v>44</v>
      </c>
      <c r="C39" s="18">
        <v>0.125</v>
      </c>
      <c r="D39" s="18">
        <v>0.12859999999999999</v>
      </c>
      <c r="E39" s="9" t="s">
        <v>38</v>
      </c>
      <c r="F39" s="12">
        <f>B3*C39*D39</f>
        <v>1607.5</v>
      </c>
      <c r="G39" s="18">
        <v>0.27756887439903111</v>
      </c>
      <c r="H39" s="12">
        <f t="shared" si="1"/>
        <v>446.19196559644251</v>
      </c>
      <c r="I39" s="19">
        <v>3.56</v>
      </c>
      <c r="J39" s="20">
        <v>154.80000000000001</v>
      </c>
      <c r="K39" s="20">
        <v>309.60000000000002</v>
      </c>
    </row>
    <row r="40" spans="1:11" x14ac:dyDescent="0.2">
      <c r="A40" s="9" t="s">
        <v>18</v>
      </c>
      <c r="B40" s="9" t="s">
        <v>45</v>
      </c>
      <c r="C40" s="18">
        <v>0.125</v>
      </c>
      <c r="D40" s="18">
        <v>0.113</v>
      </c>
      <c r="E40" s="9" t="s">
        <v>38</v>
      </c>
      <c r="F40" s="12">
        <f>B3*C40*D40</f>
        <v>1412.5</v>
      </c>
      <c r="G40" s="18">
        <v>0.25884111797353621</v>
      </c>
      <c r="H40" s="12">
        <f t="shared" si="1"/>
        <v>365.61307913761988</v>
      </c>
      <c r="I40" s="19">
        <v>7.21</v>
      </c>
      <c r="J40" s="20">
        <v>356.6</v>
      </c>
      <c r="K40" s="20">
        <v>713.2</v>
      </c>
    </row>
    <row r="41" spans="1:11" x14ac:dyDescent="0.2">
      <c r="A41" s="9" t="s">
        <v>18</v>
      </c>
      <c r="B41" s="9" t="s">
        <v>46</v>
      </c>
      <c r="C41" s="18">
        <v>0.125</v>
      </c>
      <c r="D41" s="18">
        <v>9.4600000000000004E-2</v>
      </c>
      <c r="E41" s="9" t="s">
        <v>38</v>
      </c>
      <c r="F41" s="12">
        <f>B3*C41*D41</f>
        <v>1182.5</v>
      </c>
      <c r="G41" s="18">
        <v>0.36557983602231447</v>
      </c>
      <c r="H41" s="12">
        <f t="shared" si="1"/>
        <v>432.29815609638689</v>
      </c>
      <c r="I41" s="19">
        <v>7.78</v>
      </c>
      <c r="J41" s="20">
        <v>459.6</v>
      </c>
      <c r="K41" s="20">
        <v>919.2</v>
      </c>
    </row>
    <row r="42" spans="1:11" x14ac:dyDescent="0.2">
      <c r="A42" s="9" t="s">
        <v>18</v>
      </c>
      <c r="B42" s="9" t="s">
        <v>47</v>
      </c>
      <c r="C42" s="18">
        <v>0.125</v>
      </c>
      <c r="D42" s="18">
        <v>6.3099999999999989E-2</v>
      </c>
      <c r="E42" s="9" t="s">
        <v>38</v>
      </c>
      <c r="F42" s="12">
        <f>B3*C42*D42</f>
        <v>788.74999999999989</v>
      </c>
      <c r="G42" s="18">
        <v>0.1223303009975288</v>
      </c>
      <c r="H42" s="12">
        <f t="shared" si="1"/>
        <v>96.488024911800821</v>
      </c>
      <c r="I42" s="19">
        <v>3.27</v>
      </c>
      <c r="J42" s="20">
        <v>289.60000000000002</v>
      </c>
      <c r="K42" s="20">
        <v>579.20000000000005</v>
      </c>
    </row>
    <row r="43" spans="1:11" x14ac:dyDescent="0.2">
      <c r="A43" s="9" t="s">
        <v>18</v>
      </c>
      <c r="B43" s="9" t="s">
        <v>48</v>
      </c>
      <c r="C43" s="18">
        <v>0.125</v>
      </c>
      <c r="D43" s="18">
        <v>3.8399999999999997E-2</v>
      </c>
      <c r="E43" s="9" t="s">
        <v>38</v>
      </c>
      <c r="F43" s="12">
        <f>B3*C43*D43</f>
        <v>479.99999999999994</v>
      </c>
      <c r="G43" s="18">
        <v>0.14789904989094621</v>
      </c>
      <c r="H43" s="12">
        <f t="shared" si="1"/>
        <v>70.991543947654179</v>
      </c>
      <c r="I43" s="19">
        <v>2.8</v>
      </c>
      <c r="J43" s="20">
        <v>408.1</v>
      </c>
      <c r="K43" s="20">
        <v>816.2</v>
      </c>
    </row>
    <row r="44" spans="1:11" x14ac:dyDescent="0.2">
      <c r="A44" s="9" t="s">
        <v>18</v>
      </c>
      <c r="B44" s="9" t="s">
        <v>49</v>
      </c>
      <c r="C44" s="18">
        <v>0.125</v>
      </c>
      <c r="D44" s="18">
        <v>3.7999999999999999E-2</v>
      </c>
      <c r="E44" s="9" t="s">
        <v>38</v>
      </c>
      <c r="F44" s="12">
        <f>B3*C44*D44</f>
        <v>475</v>
      </c>
      <c r="G44" s="18">
        <v>0.1701591411339754</v>
      </c>
      <c r="H44" s="12">
        <f t="shared" si="1"/>
        <v>80.82559203863832</v>
      </c>
      <c r="I44" s="19">
        <v>5.29</v>
      </c>
      <c r="J44" s="20">
        <v>778</v>
      </c>
      <c r="K44" s="20">
        <v>1556</v>
      </c>
    </row>
    <row r="46" spans="1:11" x14ac:dyDescent="0.2">
      <c r="A46" s="9" t="s">
        <v>22</v>
      </c>
      <c r="B46" s="9" t="s">
        <v>50</v>
      </c>
      <c r="C46" s="18">
        <v>0.125</v>
      </c>
      <c r="D46" s="18">
        <v>0.60130000000000006</v>
      </c>
      <c r="E46" s="9" t="s">
        <v>51</v>
      </c>
      <c r="F46" s="12">
        <f>B3*C46*D46</f>
        <v>7516.2500000000009</v>
      </c>
      <c r="G46" s="18">
        <v>0.20181423695599979</v>
      </c>
      <c r="H46" s="12">
        <f>F46*G46</f>
        <v>1516.8862585205336</v>
      </c>
      <c r="I46" s="19">
        <v>1.31</v>
      </c>
      <c r="J46" s="20">
        <v>705</v>
      </c>
      <c r="K46" s="20">
        <v>1410</v>
      </c>
    </row>
    <row r="47" spans="1:11" x14ac:dyDescent="0.2">
      <c r="A47" s="9" t="s">
        <v>22</v>
      </c>
      <c r="B47" s="9" t="s">
        <v>52</v>
      </c>
      <c r="C47" s="18">
        <v>0.125</v>
      </c>
      <c r="D47" s="18">
        <v>0.17299999999999999</v>
      </c>
      <c r="E47" s="9" t="s">
        <v>51</v>
      </c>
      <c r="F47" s="12">
        <f>B3*C47*D47</f>
        <v>2162.5</v>
      </c>
      <c r="G47" s="18">
        <v>0.22992520939506031</v>
      </c>
      <c r="H47" s="12">
        <f>F47*G47</f>
        <v>497.21326531681791</v>
      </c>
      <c r="I47" s="19">
        <v>0.84</v>
      </c>
      <c r="J47" s="20">
        <v>1779</v>
      </c>
      <c r="K47" s="20">
        <v>3558</v>
      </c>
    </row>
    <row r="48" spans="1:11" x14ac:dyDescent="0.2">
      <c r="A48" s="9" t="s">
        <v>22</v>
      </c>
      <c r="B48" s="9" t="s">
        <v>53</v>
      </c>
      <c r="C48" s="18">
        <v>0.125</v>
      </c>
      <c r="D48" s="18">
        <v>8.8399999999999992E-2</v>
      </c>
      <c r="E48" s="9" t="s">
        <v>51</v>
      </c>
      <c r="F48" s="12">
        <f>B3*C48*D48</f>
        <v>1105</v>
      </c>
      <c r="G48" s="18">
        <v>0.29823453644037468</v>
      </c>
      <c r="H48" s="12">
        <f>F48*G48</f>
        <v>329.54916276661402</v>
      </c>
      <c r="I48" s="19">
        <v>0.85</v>
      </c>
      <c r="J48" s="20">
        <v>4579</v>
      </c>
      <c r="K48" s="20">
        <v>9158</v>
      </c>
    </row>
    <row r="49" spans="1:11" x14ac:dyDescent="0.2">
      <c r="A49" s="9" t="s">
        <v>22</v>
      </c>
      <c r="B49" s="9" t="s">
        <v>54</v>
      </c>
      <c r="C49" s="18">
        <v>0.125</v>
      </c>
      <c r="D49" s="18">
        <v>8.3199999999999996E-2</v>
      </c>
      <c r="E49" s="9" t="s">
        <v>51</v>
      </c>
      <c r="F49" s="12">
        <f>B3*C49*D49</f>
        <v>1040</v>
      </c>
      <c r="G49" s="18">
        <v>0.28158882734069929</v>
      </c>
      <c r="H49" s="12">
        <f>F49*G49</f>
        <v>292.85238043432724</v>
      </c>
      <c r="I49" s="19">
        <v>0.76</v>
      </c>
      <c r="J49" s="20">
        <v>3596</v>
      </c>
      <c r="K49" s="20">
        <v>7192</v>
      </c>
    </row>
    <row r="50" spans="1:11" x14ac:dyDescent="0.2">
      <c r="A50" s="9" t="s">
        <v>22</v>
      </c>
      <c r="B50" s="9" t="s">
        <v>55</v>
      </c>
      <c r="C50" s="18">
        <v>0.125</v>
      </c>
      <c r="D50" s="18">
        <v>5.4100000000000002E-2</v>
      </c>
      <c r="E50" s="9" t="s">
        <v>51</v>
      </c>
      <c r="F50" s="12">
        <f>B3*C50*D50</f>
        <v>676.25</v>
      </c>
      <c r="G50" s="18">
        <v>0.13657447491611091</v>
      </c>
      <c r="H50" s="12">
        <f>F50*G50</f>
        <v>92.358488662020008</v>
      </c>
      <c r="I50" s="19">
        <v>0.56999999999999995</v>
      </c>
      <c r="J50" s="20">
        <v>2020</v>
      </c>
      <c r="K50" s="20">
        <v>4040</v>
      </c>
    </row>
    <row r="52" spans="1:11" x14ac:dyDescent="0.2">
      <c r="A52" s="9" t="s">
        <v>20</v>
      </c>
      <c r="B52" s="9" t="s">
        <v>46</v>
      </c>
      <c r="C52" s="18">
        <v>0.125</v>
      </c>
      <c r="D52" s="18">
        <v>0.2888</v>
      </c>
      <c r="E52" s="9" t="s">
        <v>38</v>
      </c>
      <c r="F52" s="12">
        <f>B3*C52*D52</f>
        <v>3610</v>
      </c>
      <c r="G52" s="18">
        <v>0.16363886831279811</v>
      </c>
      <c r="H52" s="12">
        <f t="shared" ref="H52:H66" si="2">F52*G52</f>
        <v>590.73631460920114</v>
      </c>
      <c r="I52" s="19">
        <v>4.26</v>
      </c>
      <c r="J52" s="20">
        <v>149.09</v>
      </c>
      <c r="K52" s="20">
        <v>298.18</v>
      </c>
    </row>
    <row r="53" spans="1:11" x14ac:dyDescent="0.2">
      <c r="A53" s="9" t="s">
        <v>20</v>
      </c>
      <c r="B53" s="9" t="s">
        <v>44</v>
      </c>
      <c r="C53" s="18">
        <v>0.125</v>
      </c>
      <c r="D53" s="18">
        <v>0.22420000000000001</v>
      </c>
      <c r="E53" s="9" t="s">
        <v>38</v>
      </c>
      <c r="F53" s="12">
        <f>B3*C53*D53</f>
        <v>2802.5</v>
      </c>
      <c r="G53" s="18">
        <v>0.2598882343822555</v>
      </c>
      <c r="H53" s="12">
        <f t="shared" si="2"/>
        <v>728.33677685627106</v>
      </c>
      <c r="I53" s="19">
        <v>3.13</v>
      </c>
      <c r="J53" s="20">
        <v>141.11000000000001</v>
      </c>
      <c r="K53" s="20">
        <v>282.22000000000003</v>
      </c>
    </row>
    <row r="54" spans="1:11" x14ac:dyDescent="0.2">
      <c r="A54" s="9" t="s">
        <v>20</v>
      </c>
      <c r="B54" s="9" t="s">
        <v>45</v>
      </c>
      <c r="C54" s="18">
        <v>0.125</v>
      </c>
      <c r="D54" s="18">
        <v>8.5600000000000009E-2</v>
      </c>
      <c r="E54" s="9" t="s">
        <v>38</v>
      </c>
      <c r="F54" s="12">
        <f>B3*C54*D54</f>
        <v>1070.0000000000002</v>
      </c>
      <c r="G54" s="18">
        <v>0.1188260555884741</v>
      </c>
      <c r="H54" s="12">
        <f t="shared" si="2"/>
        <v>127.14387947966732</v>
      </c>
      <c r="I54" s="19">
        <v>2.17</v>
      </c>
      <c r="J54" s="20">
        <v>256.2</v>
      </c>
      <c r="K54" s="20">
        <v>512.4</v>
      </c>
    </row>
    <row r="55" spans="1:11" x14ac:dyDescent="0.2">
      <c r="A55" s="9" t="s">
        <v>20</v>
      </c>
      <c r="B55" s="9" t="s">
        <v>56</v>
      </c>
      <c r="C55" s="18">
        <v>0.125</v>
      </c>
      <c r="D55" s="18">
        <v>8.1500000000000003E-2</v>
      </c>
      <c r="E55" s="9" t="s">
        <v>38</v>
      </c>
      <c r="F55" s="12">
        <f>B3*C55*D55</f>
        <v>1018.75</v>
      </c>
      <c r="G55" s="18">
        <v>0.12886538550677101</v>
      </c>
      <c r="H55" s="12">
        <f t="shared" si="2"/>
        <v>131.28161148502298</v>
      </c>
      <c r="I55" s="19">
        <v>2.61</v>
      </c>
      <c r="J55" s="20">
        <v>323.61</v>
      </c>
      <c r="K55" s="20">
        <v>647.22</v>
      </c>
    </row>
    <row r="56" spans="1:11" x14ac:dyDescent="0.2">
      <c r="A56" s="9" t="s">
        <v>20</v>
      </c>
      <c r="B56" s="9" t="s">
        <v>43</v>
      </c>
      <c r="C56" s="18">
        <v>0.125</v>
      </c>
      <c r="D56" s="18">
        <v>7.0000000000000007E-2</v>
      </c>
      <c r="E56" s="9" t="s">
        <v>38</v>
      </c>
      <c r="F56" s="12">
        <f>B3*C56*D56</f>
        <v>875.00000000000011</v>
      </c>
      <c r="G56" s="18">
        <v>9.243382392575511E-2</v>
      </c>
      <c r="H56" s="12">
        <f t="shared" si="2"/>
        <v>80.879595935035738</v>
      </c>
      <c r="I56" s="19">
        <v>1.85</v>
      </c>
      <c r="J56" s="20">
        <v>267.04000000000002</v>
      </c>
      <c r="K56" s="20">
        <v>534.08000000000004</v>
      </c>
    </row>
    <row r="57" spans="1:11" x14ac:dyDescent="0.2">
      <c r="A57" s="9" t="s">
        <v>20</v>
      </c>
      <c r="B57" s="9" t="s">
        <v>57</v>
      </c>
      <c r="C57" s="18">
        <v>0.125</v>
      </c>
      <c r="D57" s="18">
        <v>6.9400000000000003E-2</v>
      </c>
      <c r="E57" s="9" t="s">
        <v>38</v>
      </c>
      <c r="F57" s="12">
        <f>B3*C57*D57</f>
        <v>867.5</v>
      </c>
      <c r="G57" s="18">
        <v>0.10417987081779111</v>
      </c>
      <c r="H57" s="12">
        <f t="shared" si="2"/>
        <v>90.376037934433782</v>
      </c>
      <c r="I57" s="19">
        <v>2.1800000000000002</v>
      </c>
      <c r="J57" s="20">
        <v>317.39999999999998</v>
      </c>
      <c r="K57" s="20">
        <v>634.79999999999995</v>
      </c>
    </row>
    <row r="58" spans="1:11" x14ac:dyDescent="0.2">
      <c r="A58" s="9" t="s">
        <v>20</v>
      </c>
      <c r="B58" s="9" t="s">
        <v>58</v>
      </c>
      <c r="C58" s="18">
        <v>0.125</v>
      </c>
      <c r="D58" s="18">
        <v>2.98E-2</v>
      </c>
      <c r="E58" s="9" t="s">
        <v>38</v>
      </c>
      <c r="F58" s="12">
        <f>B3*C58*D58</f>
        <v>372.5</v>
      </c>
      <c r="G58" s="18">
        <v>6.1130900343341697E-2</v>
      </c>
      <c r="H58" s="12">
        <f t="shared" si="2"/>
        <v>22.771260377894784</v>
      </c>
      <c r="I58" s="19">
        <v>1.46</v>
      </c>
      <c r="J58" s="20">
        <v>495.84</v>
      </c>
      <c r="K58" s="20">
        <v>991.68</v>
      </c>
    </row>
    <row r="59" spans="1:11" x14ac:dyDescent="0.2">
      <c r="A59" s="9" t="s">
        <v>20</v>
      </c>
      <c r="B59" s="9" t="s">
        <v>59</v>
      </c>
      <c r="C59" s="18">
        <v>0.125</v>
      </c>
      <c r="D59" s="18">
        <v>2.7900000000000001E-2</v>
      </c>
      <c r="E59" s="9" t="s">
        <v>38</v>
      </c>
      <c r="F59" s="12">
        <f>B3*C59*D59</f>
        <v>348.75</v>
      </c>
      <c r="G59" s="18">
        <v>5.7237530744910788E-2</v>
      </c>
      <c r="H59" s="12">
        <f t="shared" si="2"/>
        <v>19.961588847287636</v>
      </c>
      <c r="I59" s="19">
        <v>1.53</v>
      </c>
      <c r="J59" s="20">
        <v>553.53</v>
      </c>
      <c r="K59" s="20">
        <v>1107.06</v>
      </c>
    </row>
    <row r="60" spans="1:11" x14ac:dyDescent="0.2">
      <c r="A60" s="9" t="s">
        <v>20</v>
      </c>
      <c r="B60" s="9" t="s">
        <v>60</v>
      </c>
      <c r="C60" s="18">
        <v>0.125</v>
      </c>
      <c r="D60" s="18">
        <v>2.2599999999999999E-2</v>
      </c>
      <c r="E60" s="9" t="s">
        <v>38</v>
      </c>
      <c r="F60" s="12">
        <f>B3*C60*D60</f>
        <v>282.5</v>
      </c>
      <c r="G60" s="18">
        <v>4.7725084123234861E-2</v>
      </c>
      <c r="H60" s="12">
        <f t="shared" si="2"/>
        <v>13.482336264813847</v>
      </c>
      <c r="I60" s="19">
        <v>1.0900000000000001</v>
      </c>
      <c r="J60" s="20">
        <v>486.55</v>
      </c>
      <c r="K60" s="20">
        <v>973.1</v>
      </c>
    </row>
    <row r="61" spans="1:11" x14ac:dyDescent="0.2">
      <c r="A61" s="9" t="s">
        <v>20</v>
      </c>
      <c r="B61" s="9" t="s">
        <v>61</v>
      </c>
      <c r="C61" s="18">
        <v>0.125</v>
      </c>
      <c r="D61" s="18">
        <v>2.1999999999999999E-2</v>
      </c>
      <c r="E61" s="9" t="s">
        <v>38</v>
      </c>
      <c r="F61" s="12">
        <f>B3*C61*D61</f>
        <v>275</v>
      </c>
      <c r="G61" s="18">
        <v>3.5871851794559401E-2</v>
      </c>
      <c r="H61" s="12">
        <f t="shared" si="2"/>
        <v>9.8647592435038352</v>
      </c>
      <c r="I61" s="19">
        <v>1.29</v>
      </c>
      <c r="J61" s="20">
        <v>592.92999999999995</v>
      </c>
      <c r="K61" s="20">
        <v>1185.8599999999999</v>
      </c>
    </row>
    <row r="62" spans="1:11" x14ac:dyDescent="0.2">
      <c r="A62" s="9" t="s">
        <v>20</v>
      </c>
      <c r="B62" s="9" t="s">
        <v>62</v>
      </c>
      <c r="C62" s="18">
        <v>0.125</v>
      </c>
      <c r="D62" s="18">
        <v>2.0199999999999999E-2</v>
      </c>
      <c r="E62" s="9" t="s">
        <v>38</v>
      </c>
      <c r="F62" s="12">
        <f>B3*C62*D62</f>
        <v>252.5</v>
      </c>
      <c r="G62" s="18">
        <v>7.5742052359749054E-2</v>
      </c>
      <c r="H62" s="12">
        <f t="shared" si="2"/>
        <v>19.124868220836635</v>
      </c>
      <c r="I62" s="19">
        <v>1.53</v>
      </c>
      <c r="J62" s="20">
        <v>763.98</v>
      </c>
      <c r="K62" s="20">
        <v>1527.96</v>
      </c>
    </row>
    <row r="63" spans="1:11" x14ac:dyDescent="0.2">
      <c r="A63" s="9" t="s">
        <v>20</v>
      </c>
      <c r="B63" s="9" t="s">
        <v>48</v>
      </c>
      <c r="C63" s="18">
        <v>0.125</v>
      </c>
      <c r="D63" s="18">
        <v>1.9199999999999998E-2</v>
      </c>
      <c r="E63" s="9" t="s">
        <v>38</v>
      </c>
      <c r="F63" s="12">
        <f>B3*C63*D63</f>
        <v>239.99999999999997</v>
      </c>
      <c r="G63" s="18">
        <v>5.6236613514713499E-2</v>
      </c>
      <c r="H63" s="12">
        <f t="shared" si="2"/>
        <v>13.496787243531237</v>
      </c>
      <c r="I63" s="19">
        <v>1.4</v>
      </c>
      <c r="J63" s="20">
        <v>735.54</v>
      </c>
      <c r="K63" s="20">
        <v>1471.08</v>
      </c>
    </row>
    <row r="64" spans="1:11" x14ac:dyDescent="0.2">
      <c r="A64" s="9" t="s">
        <v>20</v>
      </c>
      <c r="B64" s="9" t="s">
        <v>63</v>
      </c>
      <c r="C64" s="18">
        <v>0.125</v>
      </c>
      <c r="D64" s="18">
        <v>1.4500000000000001E-2</v>
      </c>
      <c r="E64" s="9" t="s">
        <v>38</v>
      </c>
      <c r="F64" s="12">
        <f>B3*C64*D64</f>
        <v>181.25</v>
      </c>
      <c r="G64" s="18">
        <v>4.0976469350020722E-2</v>
      </c>
      <c r="H64" s="12">
        <f t="shared" si="2"/>
        <v>7.4269850696912556</v>
      </c>
      <c r="I64" s="19">
        <v>0.97</v>
      </c>
      <c r="J64" s="20">
        <v>674.92</v>
      </c>
      <c r="K64" s="20">
        <v>1349.84</v>
      </c>
    </row>
    <row r="65" spans="1:11" x14ac:dyDescent="0.2">
      <c r="A65" s="9" t="s">
        <v>20</v>
      </c>
      <c r="B65" s="9" t="s">
        <v>64</v>
      </c>
      <c r="C65" s="18">
        <v>0.125</v>
      </c>
      <c r="D65" s="18">
        <v>1.4E-2</v>
      </c>
      <c r="E65" s="9" t="s">
        <v>38</v>
      </c>
      <c r="F65" s="12">
        <f>B3*C65*D65</f>
        <v>175</v>
      </c>
      <c r="G65" s="18">
        <v>3.3060293129844487E-2</v>
      </c>
      <c r="H65" s="12">
        <f t="shared" si="2"/>
        <v>5.785551297722785</v>
      </c>
      <c r="I65" s="19">
        <v>1.01</v>
      </c>
      <c r="J65" s="20">
        <v>727.1</v>
      </c>
      <c r="K65" s="20">
        <v>1454.2</v>
      </c>
    </row>
    <row r="66" spans="1:11" x14ac:dyDescent="0.2">
      <c r="A66" s="9" t="s">
        <v>20</v>
      </c>
      <c r="B66" s="9" t="s">
        <v>49</v>
      </c>
      <c r="C66" s="18">
        <v>0.125</v>
      </c>
      <c r="D66" s="18">
        <v>1.01E-2</v>
      </c>
      <c r="E66" s="9" t="s">
        <v>38</v>
      </c>
      <c r="F66" s="12">
        <f>B3*C66*D66</f>
        <v>126.25</v>
      </c>
      <c r="G66" s="18">
        <v>3.4808358551160698E-2</v>
      </c>
      <c r="H66" s="12">
        <f t="shared" si="2"/>
        <v>4.394555267084038</v>
      </c>
      <c r="I66" s="19">
        <v>1.01</v>
      </c>
      <c r="J66" s="20">
        <v>1262.53</v>
      </c>
      <c r="K66" s="20">
        <v>2525.06</v>
      </c>
    </row>
    <row r="68" spans="1:11" x14ac:dyDescent="0.2">
      <c r="A68" s="9" t="s">
        <v>19</v>
      </c>
      <c r="B68" s="9" t="s">
        <v>53</v>
      </c>
      <c r="C68" s="18">
        <v>0.125</v>
      </c>
      <c r="D68" s="18">
        <v>0.37559999999999999</v>
      </c>
      <c r="E68" s="9" t="s">
        <v>65</v>
      </c>
      <c r="F68" s="12">
        <f>B3*C68*D68</f>
        <v>4695</v>
      </c>
      <c r="G68" s="18">
        <v>0.31989785882370081</v>
      </c>
      <c r="H68" s="12">
        <f t="shared" ref="H68:H73" si="3">F68*G68</f>
        <v>1501.9204471772753</v>
      </c>
      <c r="I68" s="19">
        <v>0.9</v>
      </c>
      <c r="J68" s="20">
        <v>6.34</v>
      </c>
      <c r="K68" s="20">
        <v>12.68</v>
      </c>
    </row>
    <row r="69" spans="1:11" x14ac:dyDescent="0.2">
      <c r="A69" s="9" t="s">
        <v>19</v>
      </c>
      <c r="B69" s="9" t="s">
        <v>66</v>
      </c>
      <c r="C69" s="18">
        <v>0.125</v>
      </c>
      <c r="D69" s="18">
        <v>0.14149999999999999</v>
      </c>
      <c r="E69" s="9" t="s">
        <v>65</v>
      </c>
      <c r="F69" s="12">
        <f>B3*C69*D69</f>
        <v>1768.7499999999998</v>
      </c>
      <c r="G69" s="18">
        <v>0.1221737101234532</v>
      </c>
      <c r="H69" s="12">
        <f t="shared" si="3"/>
        <v>216.09474978085782</v>
      </c>
      <c r="I69" s="19">
        <v>0.85</v>
      </c>
      <c r="J69" s="20">
        <v>16.829999999999998</v>
      </c>
      <c r="K69" s="20">
        <v>33.659999999999997</v>
      </c>
    </row>
    <row r="70" spans="1:11" x14ac:dyDescent="0.2">
      <c r="A70" s="9" t="s">
        <v>19</v>
      </c>
      <c r="B70" s="9" t="s">
        <v>52</v>
      </c>
      <c r="C70" s="18">
        <v>0.125</v>
      </c>
      <c r="D70" s="18">
        <v>0.13930000000000001</v>
      </c>
      <c r="E70" s="9" t="s">
        <v>65</v>
      </c>
      <c r="F70" s="12">
        <f>B3*C70*D70</f>
        <v>1741.25</v>
      </c>
      <c r="G70" s="18">
        <v>0.10434506088802779</v>
      </c>
      <c r="H70" s="12">
        <f t="shared" si="3"/>
        <v>181.69083727127838</v>
      </c>
      <c r="I70" s="19">
        <v>0.9</v>
      </c>
      <c r="J70" s="20">
        <v>17.09</v>
      </c>
      <c r="K70" s="20">
        <v>34.18</v>
      </c>
    </row>
    <row r="71" spans="1:11" x14ac:dyDescent="0.2">
      <c r="A71" s="9" t="s">
        <v>19</v>
      </c>
      <c r="B71" s="9" t="s">
        <v>67</v>
      </c>
      <c r="C71" s="18">
        <v>0.125</v>
      </c>
      <c r="D71" s="18">
        <v>0.1235</v>
      </c>
      <c r="E71" s="9" t="s">
        <v>65</v>
      </c>
      <c r="F71" s="12">
        <f>B3*C71*D71</f>
        <v>1543.75</v>
      </c>
      <c r="G71" s="18">
        <v>0.17929380490060101</v>
      </c>
      <c r="H71" s="12">
        <f t="shared" si="3"/>
        <v>276.78481131530282</v>
      </c>
      <c r="I71" s="19">
        <v>1.44</v>
      </c>
      <c r="J71" s="20">
        <v>19.28</v>
      </c>
      <c r="K71" s="20">
        <v>38.56</v>
      </c>
    </row>
    <row r="72" spans="1:11" x14ac:dyDescent="0.2">
      <c r="A72" s="9" t="s">
        <v>19</v>
      </c>
      <c r="B72" s="9" t="s">
        <v>68</v>
      </c>
      <c r="C72" s="18">
        <v>0.125</v>
      </c>
      <c r="D72" s="18">
        <v>0.1176</v>
      </c>
      <c r="E72" s="9" t="s">
        <v>65</v>
      </c>
      <c r="F72" s="12">
        <f>B3*C72*D72</f>
        <v>1470</v>
      </c>
      <c r="G72" s="18">
        <v>8.1145476585578274E-2</v>
      </c>
      <c r="H72" s="12">
        <f t="shared" si="3"/>
        <v>119.28385058080006</v>
      </c>
      <c r="I72" s="19">
        <v>0.95</v>
      </c>
      <c r="J72" s="20">
        <v>20.25</v>
      </c>
      <c r="K72" s="20">
        <v>40.5</v>
      </c>
    </row>
    <row r="73" spans="1:11" x14ac:dyDescent="0.2">
      <c r="A73" s="9" t="s">
        <v>19</v>
      </c>
      <c r="B73" s="9" t="s">
        <v>69</v>
      </c>
      <c r="C73" s="18">
        <v>0.125</v>
      </c>
      <c r="D73" s="18">
        <v>0.10249999999999999</v>
      </c>
      <c r="E73" s="9" t="s">
        <v>65</v>
      </c>
      <c r="F73" s="12">
        <f>B3*C73*D73</f>
        <v>1281.25</v>
      </c>
      <c r="G73" s="18">
        <v>0.12592523808934869</v>
      </c>
      <c r="H73" s="12">
        <f t="shared" si="3"/>
        <v>161.34171130197802</v>
      </c>
      <c r="I73" s="19">
        <v>0.84</v>
      </c>
      <c r="J73" s="20">
        <v>23.23</v>
      </c>
      <c r="K73" s="20">
        <v>46.46</v>
      </c>
    </row>
    <row r="75" spans="1:11" x14ac:dyDescent="0.2">
      <c r="A75" s="9" t="s">
        <v>23</v>
      </c>
      <c r="B75" s="9" t="s">
        <v>70</v>
      </c>
      <c r="C75" s="18">
        <v>0.125</v>
      </c>
      <c r="D75" s="18">
        <v>1</v>
      </c>
      <c r="E75" s="9" t="s">
        <v>38</v>
      </c>
      <c r="F75" s="12">
        <f>B3*C75*D75</f>
        <v>12500</v>
      </c>
      <c r="G75" s="18">
        <v>0.2445482895588334</v>
      </c>
      <c r="H75" s="12">
        <f>F75*G75</f>
        <v>3056.8536194854173</v>
      </c>
      <c r="I75" s="19">
        <v>2.71</v>
      </c>
      <c r="J75" s="20">
        <v>410</v>
      </c>
      <c r="K75" s="20">
        <v>820</v>
      </c>
    </row>
    <row r="77" spans="1:11" x14ac:dyDescent="0.2">
      <c r="A77" s="14" t="s">
        <v>24</v>
      </c>
      <c r="B77" s="21"/>
      <c r="C77" s="21"/>
      <c r="D77" s="21"/>
      <c r="E77" s="21"/>
      <c r="F77" s="16">
        <f>SUMIF(A28:A75,"&lt;&gt;",F28:F75)</f>
        <v>99996.25</v>
      </c>
      <c r="G77" s="21"/>
      <c r="H77" s="16">
        <f>SUMIF(A28:A75,"&lt;&gt;",H28:H75)</f>
        <v>25042.342342896343</v>
      </c>
      <c r="I77" s="21"/>
      <c r="J77" s="21"/>
      <c r="K77" s="21"/>
    </row>
  </sheetData>
  <mergeCells count="4">
    <mergeCell ref="A13:F13"/>
    <mergeCell ref="A5:D5"/>
    <mergeCell ref="A26:K2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Katwe</cp:lastModifiedBy>
  <dcterms:created xsi:type="dcterms:W3CDTF">2026-01-02T19:14:29Z</dcterms:created>
  <dcterms:modified xsi:type="dcterms:W3CDTF">2026-01-02T19:36:25Z</dcterms:modified>
</cp:coreProperties>
</file>