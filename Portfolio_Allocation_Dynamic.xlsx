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sureshpatil/Desktop/Portfolio Creation/"/>
    </mc:Choice>
  </mc:AlternateContent>
  <xr:revisionPtr revIDLastSave="0" documentId="13_ncr:1_{C7453AF1-BD08-934E-918B-A3107D8E0512}" xr6:coauthVersionLast="47" xr6:coauthVersionMax="47" xr10:uidLastSave="{00000000-0000-0000-0000-000000000000}"/>
  <bookViews>
    <workbookView xWindow="4980" yWindow="-19940" windowWidth="28800" windowHeight="17380" xr2:uid="{00000000-000D-0000-FFFF-FFFF00000000}"/>
  </bookViews>
  <sheets>
    <sheet name="Portfolio Allocation" sheetId="1" r:id="rId1"/>
    <sheet name="Equal Weight" sheetId="2" r:id="rId2"/>
    <sheet name="Inv Volatility" sheetId="3" r:id="rId3"/>
    <sheet name="Sharpe Weighted" sheetId="4" r:id="rId4"/>
    <sheet name="Risk Parity" sheetId="5" r:id="rId5"/>
    <sheet name="Max Sharp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6" l="1"/>
  <c r="E70" i="6"/>
  <c r="E69" i="6"/>
  <c r="E68" i="6"/>
  <c r="E67" i="6"/>
  <c r="E66" i="6"/>
  <c r="E65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7" i="6"/>
  <c r="E46" i="6"/>
  <c r="E45" i="6"/>
  <c r="E44" i="6"/>
  <c r="E43" i="6"/>
  <c r="E41" i="6"/>
  <c r="E40" i="6"/>
  <c r="E39" i="6"/>
  <c r="E38" i="6"/>
  <c r="E37" i="6"/>
  <c r="E36" i="6"/>
  <c r="E35" i="6"/>
  <c r="E34" i="6"/>
  <c r="E32" i="6"/>
  <c r="E31" i="6"/>
  <c r="E29" i="6"/>
  <c r="E28" i="6"/>
  <c r="E26" i="6"/>
  <c r="E74" i="6" s="1"/>
  <c r="E25" i="6"/>
  <c r="C20" i="6"/>
  <c r="B20" i="6"/>
  <c r="B3" i="6"/>
  <c r="D13" i="6" s="1"/>
  <c r="E72" i="5"/>
  <c r="E70" i="5"/>
  <c r="E69" i="5"/>
  <c r="E68" i="5"/>
  <c r="E67" i="5"/>
  <c r="E66" i="5"/>
  <c r="E65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7" i="5"/>
  <c r="E46" i="5"/>
  <c r="E45" i="5"/>
  <c r="E44" i="5"/>
  <c r="E43" i="5"/>
  <c r="E41" i="5"/>
  <c r="E40" i="5"/>
  <c r="E39" i="5"/>
  <c r="E38" i="5"/>
  <c r="E37" i="5"/>
  <c r="F36" i="5"/>
  <c r="H36" i="5" s="1"/>
  <c r="E36" i="5"/>
  <c r="E35" i="5"/>
  <c r="E34" i="5"/>
  <c r="E32" i="5"/>
  <c r="E31" i="5"/>
  <c r="E29" i="5"/>
  <c r="F29" i="5" s="1"/>
  <c r="H29" i="5" s="1"/>
  <c r="E28" i="5"/>
  <c r="E26" i="5"/>
  <c r="E25" i="5"/>
  <c r="C20" i="5"/>
  <c r="B20" i="5"/>
  <c r="D19" i="5"/>
  <c r="D17" i="5"/>
  <c r="B3" i="5"/>
  <c r="F69" i="5" s="1"/>
  <c r="H69" i="5" s="1"/>
  <c r="E72" i="4"/>
  <c r="E70" i="4"/>
  <c r="E69" i="4"/>
  <c r="E68" i="4"/>
  <c r="E67" i="4"/>
  <c r="E66" i="4"/>
  <c r="F65" i="4"/>
  <c r="H65" i="4" s="1"/>
  <c r="E65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7" i="4"/>
  <c r="E46" i="4"/>
  <c r="E45" i="4"/>
  <c r="E44" i="4"/>
  <c r="E43" i="4"/>
  <c r="E41" i="4"/>
  <c r="E40" i="4"/>
  <c r="E39" i="4"/>
  <c r="E38" i="4"/>
  <c r="E37" i="4"/>
  <c r="E36" i="4"/>
  <c r="E35" i="4"/>
  <c r="E34" i="4"/>
  <c r="E32" i="4"/>
  <c r="E31" i="4"/>
  <c r="E29" i="4"/>
  <c r="E28" i="4"/>
  <c r="E26" i="4"/>
  <c r="E25" i="4"/>
  <c r="C20" i="4"/>
  <c r="B20" i="4"/>
  <c r="B3" i="4"/>
  <c r="F68" i="4" s="1"/>
  <c r="H68" i="4" s="1"/>
  <c r="E72" i="3"/>
  <c r="E70" i="3"/>
  <c r="E69" i="3"/>
  <c r="E68" i="3"/>
  <c r="E67" i="3"/>
  <c r="E66" i="3"/>
  <c r="E65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7" i="3"/>
  <c r="E46" i="3"/>
  <c r="E45" i="3"/>
  <c r="E44" i="3"/>
  <c r="E43" i="3"/>
  <c r="E41" i="3"/>
  <c r="E40" i="3"/>
  <c r="E39" i="3"/>
  <c r="E38" i="3"/>
  <c r="E37" i="3"/>
  <c r="E36" i="3"/>
  <c r="E35" i="3"/>
  <c r="E34" i="3"/>
  <c r="E32" i="3"/>
  <c r="E31" i="3"/>
  <c r="E29" i="3"/>
  <c r="E28" i="3"/>
  <c r="E26" i="3"/>
  <c r="E25" i="3"/>
  <c r="C20" i="3"/>
  <c r="B20" i="3"/>
  <c r="B3" i="3"/>
  <c r="D18" i="3" s="1"/>
  <c r="E72" i="2"/>
  <c r="E70" i="2"/>
  <c r="E69" i="2"/>
  <c r="E68" i="2"/>
  <c r="E67" i="2"/>
  <c r="E66" i="2"/>
  <c r="E65" i="2"/>
  <c r="E63" i="2"/>
  <c r="F63" i="2" s="1"/>
  <c r="H63" i="2" s="1"/>
  <c r="E62" i="2"/>
  <c r="E61" i="2"/>
  <c r="F60" i="2"/>
  <c r="H60" i="2" s="1"/>
  <c r="E60" i="2"/>
  <c r="E59" i="2"/>
  <c r="F59" i="2" s="1"/>
  <c r="H59" i="2" s="1"/>
  <c r="E58" i="2"/>
  <c r="E57" i="2"/>
  <c r="E56" i="2"/>
  <c r="E55" i="2"/>
  <c r="E54" i="2"/>
  <c r="E53" i="2"/>
  <c r="F53" i="2" s="1"/>
  <c r="H53" i="2" s="1"/>
  <c r="F52" i="2"/>
  <c r="H52" i="2" s="1"/>
  <c r="E52" i="2"/>
  <c r="E51" i="2"/>
  <c r="E50" i="2"/>
  <c r="E49" i="2"/>
  <c r="F47" i="2"/>
  <c r="H47" i="2" s="1"/>
  <c r="E47" i="2"/>
  <c r="E46" i="2"/>
  <c r="E45" i="2"/>
  <c r="E44" i="2"/>
  <c r="E43" i="2"/>
  <c r="F41" i="2"/>
  <c r="H41" i="2" s="1"/>
  <c r="E41" i="2"/>
  <c r="E40" i="2"/>
  <c r="E39" i="2"/>
  <c r="E38" i="2"/>
  <c r="F37" i="2"/>
  <c r="H37" i="2" s="1"/>
  <c r="E37" i="2"/>
  <c r="E36" i="2"/>
  <c r="E35" i="2"/>
  <c r="E34" i="2"/>
  <c r="E32" i="2"/>
  <c r="E31" i="2"/>
  <c r="F29" i="2"/>
  <c r="H29" i="2" s="1"/>
  <c r="E29" i="2"/>
  <c r="E28" i="2"/>
  <c r="E26" i="2"/>
  <c r="E25" i="2"/>
  <c r="E74" i="2" s="1"/>
  <c r="C20" i="2"/>
  <c r="B20" i="2"/>
  <c r="D19" i="2"/>
  <c r="D18" i="2"/>
  <c r="D17" i="2"/>
  <c r="B3" i="2"/>
  <c r="F69" i="2" s="1"/>
  <c r="H69" i="2" s="1"/>
  <c r="F75" i="1"/>
  <c r="H75" i="1" s="1"/>
  <c r="E22" i="1" s="1"/>
  <c r="F73" i="1"/>
  <c r="H73" i="1" s="1"/>
  <c r="F72" i="1"/>
  <c r="H72" i="1" s="1"/>
  <c r="F71" i="1"/>
  <c r="H71" i="1" s="1"/>
  <c r="F70" i="1"/>
  <c r="H70" i="1" s="1"/>
  <c r="F69" i="1"/>
  <c r="H69" i="1" s="1"/>
  <c r="F68" i="1"/>
  <c r="H68" i="1" s="1"/>
  <c r="F66" i="1"/>
  <c r="H66" i="1" s="1"/>
  <c r="H65" i="1"/>
  <c r="F65" i="1"/>
  <c r="F64" i="1"/>
  <c r="H64" i="1" s="1"/>
  <c r="F63" i="1"/>
  <c r="H63" i="1" s="1"/>
  <c r="F62" i="1"/>
  <c r="H62" i="1" s="1"/>
  <c r="F61" i="1"/>
  <c r="H61" i="1" s="1"/>
  <c r="F60" i="1"/>
  <c r="H60" i="1" s="1"/>
  <c r="F59" i="1"/>
  <c r="H59" i="1" s="1"/>
  <c r="F58" i="1"/>
  <c r="H58" i="1" s="1"/>
  <c r="F57" i="1"/>
  <c r="H57" i="1" s="1"/>
  <c r="F56" i="1"/>
  <c r="H56" i="1" s="1"/>
  <c r="F55" i="1"/>
  <c r="H55" i="1" s="1"/>
  <c r="F54" i="1"/>
  <c r="H54" i="1" s="1"/>
  <c r="F53" i="1"/>
  <c r="H53" i="1" s="1"/>
  <c r="F52" i="1"/>
  <c r="H52" i="1" s="1"/>
  <c r="F50" i="1"/>
  <c r="H50" i="1" s="1"/>
  <c r="F49" i="1"/>
  <c r="H49" i="1" s="1"/>
  <c r="F48" i="1"/>
  <c r="H48" i="1" s="1"/>
  <c r="F47" i="1"/>
  <c r="H47" i="1" s="1"/>
  <c r="F46" i="1"/>
  <c r="H46" i="1" s="1"/>
  <c r="E21" i="1" s="1"/>
  <c r="F21" i="1" s="1"/>
  <c r="F44" i="1"/>
  <c r="H44" i="1" s="1"/>
  <c r="F43" i="1"/>
  <c r="H43" i="1" s="1"/>
  <c r="F42" i="1"/>
  <c r="H42" i="1" s="1"/>
  <c r="F41" i="1"/>
  <c r="H41" i="1" s="1"/>
  <c r="F40" i="1"/>
  <c r="H40" i="1" s="1"/>
  <c r="F39" i="1"/>
  <c r="H39" i="1" s="1"/>
  <c r="F38" i="1"/>
  <c r="H38" i="1" s="1"/>
  <c r="F37" i="1"/>
  <c r="H37" i="1" s="1"/>
  <c r="F35" i="1"/>
  <c r="H35" i="1" s="1"/>
  <c r="F34" i="1"/>
  <c r="H34" i="1" s="1"/>
  <c r="E16" i="1" s="1"/>
  <c r="H32" i="1"/>
  <c r="F32" i="1"/>
  <c r="F31" i="1"/>
  <c r="H31" i="1" s="1"/>
  <c r="H29" i="1"/>
  <c r="F29" i="1"/>
  <c r="F28" i="1"/>
  <c r="H28" i="1" s="1"/>
  <c r="C23" i="1"/>
  <c r="B23" i="1"/>
  <c r="D22" i="1"/>
  <c r="D21" i="1"/>
  <c r="D20" i="1"/>
  <c r="D19" i="1"/>
  <c r="D18" i="1"/>
  <c r="D17" i="1"/>
  <c r="D16" i="1"/>
  <c r="D15" i="1"/>
  <c r="B8" i="1"/>
  <c r="F29" i="4" l="1"/>
  <c r="H29" i="4" s="1"/>
  <c r="F39" i="4"/>
  <c r="H39" i="4" s="1"/>
  <c r="F37" i="5"/>
  <c r="H37" i="5" s="1"/>
  <c r="F46" i="5"/>
  <c r="H46" i="5" s="1"/>
  <c r="D18" i="5"/>
  <c r="F72" i="5"/>
  <c r="H72" i="5" s="1"/>
  <c r="E19" i="5" s="1"/>
  <c r="F19" i="5" s="1"/>
  <c r="F66" i="5"/>
  <c r="H66" i="5" s="1"/>
  <c r="F43" i="2"/>
  <c r="H43" i="2" s="1"/>
  <c r="F57" i="2"/>
  <c r="H57" i="2" s="1"/>
  <c r="F65" i="2"/>
  <c r="H65" i="2" s="1"/>
  <c r="D17" i="3"/>
  <c r="F53" i="4"/>
  <c r="H53" i="4" s="1"/>
  <c r="F59" i="5"/>
  <c r="H59" i="5" s="1"/>
  <c r="F67" i="5"/>
  <c r="H67" i="5" s="1"/>
  <c r="D23" i="1"/>
  <c r="E17" i="1"/>
  <c r="F17" i="1" s="1"/>
  <c r="F58" i="2"/>
  <c r="H58" i="2" s="1"/>
  <c r="F46" i="4"/>
  <c r="H46" i="4" s="1"/>
  <c r="F44" i="5"/>
  <c r="H44" i="5" s="1"/>
  <c r="F53" i="5"/>
  <c r="H53" i="5" s="1"/>
  <c r="F60" i="5"/>
  <c r="H60" i="5" s="1"/>
  <c r="F37" i="4"/>
  <c r="H37" i="4" s="1"/>
  <c r="F69" i="4"/>
  <c r="H69" i="4" s="1"/>
  <c r="D15" i="5"/>
  <c r="F26" i="5"/>
  <c r="H26" i="5" s="1"/>
  <c r="F43" i="5"/>
  <c r="H43" i="5" s="1"/>
  <c r="F51" i="5"/>
  <c r="H51" i="5" s="1"/>
  <c r="F66" i="2"/>
  <c r="H66" i="2" s="1"/>
  <c r="D13" i="3"/>
  <c r="F38" i="3"/>
  <c r="H38" i="3" s="1"/>
  <c r="D12" i="4"/>
  <c r="F54" i="4"/>
  <c r="H54" i="4" s="1"/>
  <c r="F60" i="4"/>
  <c r="H60" i="4" s="1"/>
  <c r="F72" i="4"/>
  <c r="H72" i="4" s="1"/>
  <c r="E19" i="4" s="1"/>
  <c r="D12" i="2"/>
  <c r="F32" i="2"/>
  <c r="H32" i="2" s="1"/>
  <c r="F44" i="2"/>
  <c r="H44" i="2" s="1"/>
  <c r="F49" i="2"/>
  <c r="H49" i="2" s="1"/>
  <c r="F34" i="2"/>
  <c r="H34" i="2" s="1"/>
  <c r="F39" i="2"/>
  <c r="H39" i="2" s="1"/>
  <c r="F55" i="2"/>
  <c r="H55" i="2" s="1"/>
  <c r="F68" i="2"/>
  <c r="H68" i="2" s="1"/>
  <c r="F32" i="3"/>
  <c r="H32" i="3" s="1"/>
  <c r="D15" i="4"/>
  <c r="F34" i="4"/>
  <c r="H34" i="4" s="1"/>
  <c r="F43" i="4"/>
  <c r="H43" i="4" s="1"/>
  <c r="F55" i="4"/>
  <c r="H55" i="4" s="1"/>
  <c r="F61" i="4"/>
  <c r="H61" i="4" s="1"/>
  <c r="D12" i="5"/>
  <c r="F32" i="5"/>
  <c r="H32" i="5" s="1"/>
  <c r="F40" i="5"/>
  <c r="H40" i="5" s="1"/>
  <c r="F61" i="5"/>
  <c r="H61" i="5" s="1"/>
  <c r="F68" i="5"/>
  <c r="H68" i="5" s="1"/>
  <c r="F47" i="4"/>
  <c r="H47" i="4" s="1"/>
  <c r="F59" i="4"/>
  <c r="H59" i="4" s="1"/>
  <c r="F54" i="5"/>
  <c r="H54" i="5" s="1"/>
  <c r="D13" i="2"/>
  <c r="F51" i="2"/>
  <c r="H51" i="2" s="1"/>
  <c r="F61" i="2"/>
  <c r="H61" i="2" s="1"/>
  <c r="F59" i="3"/>
  <c r="H59" i="3" s="1"/>
  <c r="D16" i="4"/>
  <c r="F51" i="4"/>
  <c r="H51" i="4" s="1"/>
  <c r="F56" i="4"/>
  <c r="H56" i="4" s="1"/>
  <c r="F62" i="4"/>
  <c r="H62" i="4" s="1"/>
  <c r="D13" i="5"/>
  <c r="F25" i="5"/>
  <c r="H25" i="5" s="1"/>
  <c r="F34" i="5"/>
  <c r="H34" i="5" s="1"/>
  <c r="F50" i="5"/>
  <c r="H50" i="5" s="1"/>
  <c r="D13" i="4"/>
  <c r="F32" i="4"/>
  <c r="H32" i="4" s="1"/>
  <c r="F66" i="4"/>
  <c r="H66" i="4" s="1"/>
  <c r="F50" i="2"/>
  <c r="H50" i="2" s="1"/>
  <c r="D15" i="2"/>
  <c r="F26" i="2"/>
  <c r="H26" i="2" s="1"/>
  <c r="F56" i="2"/>
  <c r="H56" i="2" s="1"/>
  <c r="D16" i="2"/>
  <c r="F28" i="2"/>
  <c r="H28" i="2" s="1"/>
  <c r="E17" i="2" s="1"/>
  <c r="F17" i="2" s="1"/>
  <c r="F40" i="2"/>
  <c r="H40" i="2" s="1"/>
  <c r="F46" i="2"/>
  <c r="H46" i="2" s="1"/>
  <c r="D19" i="4"/>
  <c r="F28" i="4"/>
  <c r="H28" i="4" s="1"/>
  <c r="E17" i="4" s="1"/>
  <c r="F36" i="4"/>
  <c r="H36" i="4" s="1"/>
  <c r="F44" i="4"/>
  <c r="H44" i="4" s="1"/>
  <c r="F57" i="4"/>
  <c r="H57" i="4" s="1"/>
  <c r="D14" i="5"/>
  <c r="F57" i="5"/>
  <c r="H57" i="5" s="1"/>
  <c r="F63" i="5"/>
  <c r="H63" i="5" s="1"/>
  <c r="F77" i="1"/>
  <c r="F69" i="3"/>
  <c r="H69" i="3" s="1"/>
  <c r="F60" i="3"/>
  <c r="H60" i="3" s="1"/>
  <c r="F52" i="3"/>
  <c r="H52" i="3" s="1"/>
  <c r="F43" i="3"/>
  <c r="H43" i="3" s="1"/>
  <c r="F34" i="3"/>
  <c r="H34" i="3" s="1"/>
  <c r="D12" i="3"/>
  <c r="F70" i="3"/>
  <c r="H70" i="3" s="1"/>
  <c r="F67" i="3"/>
  <c r="H67" i="3" s="1"/>
  <c r="F63" i="3"/>
  <c r="H63" i="3" s="1"/>
  <c r="F57" i="3"/>
  <c r="H57" i="3" s="1"/>
  <c r="F35" i="3"/>
  <c r="H35" i="3" s="1"/>
  <c r="F31" i="3"/>
  <c r="H31" i="3" s="1"/>
  <c r="F26" i="3"/>
  <c r="H26" i="3" s="1"/>
  <c r="F54" i="3"/>
  <c r="H54" i="3" s="1"/>
  <c r="F51" i="3"/>
  <c r="H51" i="3" s="1"/>
  <c r="F47" i="3"/>
  <c r="H47" i="3" s="1"/>
  <c r="F55" i="3"/>
  <c r="H55" i="3" s="1"/>
  <c r="F46" i="3"/>
  <c r="H46" i="3" s="1"/>
  <c r="F65" i="3"/>
  <c r="H65" i="3" s="1"/>
  <c r="F61" i="3"/>
  <c r="H61" i="3" s="1"/>
  <c r="F50" i="3"/>
  <c r="H50" i="3" s="1"/>
  <c r="F41" i="3"/>
  <c r="H41" i="3" s="1"/>
  <c r="F29" i="3"/>
  <c r="H29" i="3" s="1"/>
  <c r="F25" i="3"/>
  <c r="D16" i="3"/>
  <c r="F72" i="3"/>
  <c r="H72" i="3" s="1"/>
  <c r="E19" i="3" s="1"/>
  <c r="F53" i="3"/>
  <c r="H53" i="3" s="1"/>
  <c r="F49" i="3"/>
  <c r="H49" i="3" s="1"/>
  <c r="F40" i="3"/>
  <c r="H40" i="3" s="1"/>
  <c r="F37" i="3"/>
  <c r="H37" i="3" s="1"/>
  <c r="F68" i="3"/>
  <c r="H68" i="3" s="1"/>
  <c r="F45" i="3"/>
  <c r="H45" i="3" s="1"/>
  <c r="D19" i="3"/>
  <c r="F44" i="3"/>
  <c r="H44" i="3" s="1"/>
  <c r="F56" i="3"/>
  <c r="H56" i="3" s="1"/>
  <c r="F22" i="1"/>
  <c r="D14" i="3"/>
  <c r="F28" i="3"/>
  <c r="H28" i="3" s="1"/>
  <c r="E17" i="3" s="1"/>
  <c r="F17" i="3" s="1"/>
  <c r="F39" i="3"/>
  <c r="H39" i="3" s="1"/>
  <c r="F66" i="3"/>
  <c r="H66" i="3" s="1"/>
  <c r="H77" i="1"/>
  <c r="E18" i="1"/>
  <c r="F18" i="1" s="1"/>
  <c r="E20" i="1"/>
  <c r="F20" i="1" s="1"/>
  <c r="E19" i="1"/>
  <c r="F19" i="1" s="1"/>
  <c r="D15" i="3"/>
  <c r="F25" i="4"/>
  <c r="E74" i="4"/>
  <c r="E15" i="1"/>
  <c r="F36" i="3"/>
  <c r="H36" i="3" s="1"/>
  <c r="F58" i="3"/>
  <c r="H58" i="3" s="1"/>
  <c r="F62" i="3"/>
  <c r="H62" i="3" s="1"/>
  <c r="D20" i="5"/>
  <c r="E74" i="5"/>
  <c r="F16" i="1"/>
  <c r="E74" i="3"/>
  <c r="F65" i="5"/>
  <c r="H65" i="5" s="1"/>
  <c r="F56" i="5"/>
  <c r="H56" i="5" s="1"/>
  <c r="F47" i="5"/>
  <c r="H47" i="5" s="1"/>
  <c r="F38" i="5"/>
  <c r="H38" i="5" s="1"/>
  <c r="F28" i="5"/>
  <c r="H28" i="5" s="1"/>
  <c r="E17" i="5" s="1"/>
  <c r="F17" i="5" s="1"/>
  <c r="D16" i="5"/>
  <c r="F58" i="5"/>
  <c r="H58" i="5" s="1"/>
  <c r="F55" i="5"/>
  <c r="H55" i="5" s="1"/>
  <c r="F52" i="5"/>
  <c r="H52" i="5" s="1"/>
  <c r="F70" i="5"/>
  <c r="H70" i="5" s="1"/>
  <c r="F49" i="5"/>
  <c r="H49" i="5" s="1"/>
  <c r="F45" i="5"/>
  <c r="H45" i="5" s="1"/>
  <c r="F41" i="5"/>
  <c r="H41" i="5" s="1"/>
  <c r="F35" i="5"/>
  <c r="H35" i="5" s="1"/>
  <c r="F31" i="5"/>
  <c r="H31" i="5" s="1"/>
  <c r="F39" i="5"/>
  <c r="H39" i="5" s="1"/>
  <c r="F62" i="5"/>
  <c r="H62" i="5" s="1"/>
  <c r="F67" i="6"/>
  <c r="H67" i="6" s="1"/>
  <c r="F58" i="6"/>
  <c r="H58" i="6" s="1"/>
  <c r="F50" i="6"/>
  <c r="H50" i="6" s="1"/>
  <c r="F40" i="6"/>
  <c r="H40" i="6" s="1"/>
  <c r="F31" i="6"/>
  <c r="H31" i="6" s="1"/>
  <c r="D18" i="6"/>
  <c r="F63" i="6"/>
  <c r="H63" i="6" s="1"/>
  <c r="F55" i="6"/>
  <c r="H55" i="6" s="1"/>
  <c r="F46" i="6"/>
  <c r="H46" i="6" s="1"/>
  <c r="F37" i="6"/>
  <c r="H37" i="6" s="1"/>
  <c r="F26" i="6"/>
  <c r="H26" i="6" s="1"/>
  <c r="D15" i="6"/>
  <c r="F69" i="6"/>
  <c r="H69" i="6" s="1"/>
  <c r="F60" i="6"/>
  <c r="H60" i="6" s="1"/>
  <c r="F52" i="6"/>
  <c r="H52" i="6" s="1"/>
  <c r="F43" i="6"/>
  <c r="H43" i="6" s="1"/>
  <c r="F34" i="6"/>
  <c r="H34" i="6" s="1"/>
  <c r="F66" i="6"/>
  <c r="H66" i="6" s="1"/>
  <c r="F57" i="6"/>
  <c r="H57" i="6" s="1"/>
  <c r="F49" i="6"/>
  <c r="H49" i="6" s="1"/>
  <c r="F39" i="6"/>
  <c r="H39" i="6" s="1"/>
  <c r="F29" i="6"/>
  <c r="H29" i="6" s="1"/>
  <c r="D17" i="6"/>
  <c r="F72" i="6"/>
  <c r="H72" i="6" s="1"/>
  <c r="E19" i="6" s="1"/>
  <c r="F62" i="6"/>
  <c r="H62" i="6" s="1"/>
  <c r="F54" i="6"/>
  <c r="H54" i="6" s="1"/>
  <c r="F45" i="6"/>
  <c r="H45" i="6" s="1"/>
  <c r="F36" i="6"/>
  <c r="H36" i="6" s="1"/>
  <c r="F25" i="6"/>
  <c r="D14" i="6"/>
  <c r="F68" i="6"/>
  <c r="H68" i="6" s="1"/>
  <c r="F59" i="6"/>
  <c r="H59" i="6" s="1"/>
  <c r="F51" i="6"/>
  <c r="H51" i="6" s="1"/>
  <c r="F41" i="6"/>
  <c r="H41" i="6" s="1"/>
  <c r="F32" i="6"/>
  <c r="H32" i="6" s="1"/>
  <c r="D19" i="6"/>
  <c r="F65" i="6"/>
  <c r="H65" i="6" s="1"/>
  <c r="F56" i="6"/>
  <c r="H56" i="6" s="1"/>
  <c r="F47" i="6"/>
  <c r="H47" i="6" s="1"/>
  <c r="F38" i="6"/>
  <c r="H38" i="6" s="1"/>
  <c r="F28" i="6"/>
  <c r="H28" i="6" s="1"/>
  <c r="E17" i="6" s="1"/>
  <c r="D16" i="6"/>
  <c r="F70" i="6"/>
  <c r="H70" i="6" s="1"/>
  <c r="F61" i="6"/>
  <c r="H61" i="6" s="1"/>
  <c r="F53" i="6"/>
  <c r="H53" i="6" s="1"/>
  <c r="F44" i="6"/>
  <c r="H44" i="6" s="1"/>
  <c r="F35" i="6"/>
  <c r="H35" i="6" s="1"/>
  <c r="F67" i="4"/>
  <c r="H67" i="4" s="1"/>
  <c r="E15" i="4" s="1"/>
  <c r="F15" i="4" s="1"/>
  <c r="F58" i="4"/>
  <c r="H58" i="4" s="1"/>
  <c r="F50" i="4"/>
  <c r="H50" i="4" s="1"/>
  <c r="F40" i="4"/>
  <c r="H40" i="4" s="1"/>
  <c r="F31" i="4"/>
  <c r="H31" i="4" s="1"/>
  <c r="E13" i="4" s="1"/>
  <c r="D18" i="4"/>
  <c r="D14" i="4"/>
  <c r="D17" i="4"/>
  <c r="F17" i="4" s="1"/>
  <c r="F26" i="4"/>
  <c r="H26" i="4" s="1"/>
  <c r="F35" i="4"/>
  <c r="H35" i="4" s="1"/>
  <c r="F38" i="4"/>
  <c r="H38" i="4" s="1"/>
  <c r="F41" i="4"/>
  <c r="H41" i="4" s="1"/>
  <c r="F63" i="4"/>
  <c r="H63" i="4" s="1"/>
  <c r="F70" i="4"/>
  <c r="H70" i="4" s="1"/>
  <c r="F72" i="2"/>
  <c r="H72" i="2" s="1"/>
  <c r="E19" i="2" s="1"/>
  <c r="F19" i="2" s="1"/>
  <c r="F62" i="2"/>
  <c r="H62" i="2" s="1"/>
  <c r="F54" i="2"/>
  <c r="H54" i="2" s="1"/>
  <c r="F45" i="2"/>
  <c r="H45" i="2" s="1"/>
  <c r="F36" i="2"/>
  <c r="H36" i="2" s="1"/>
  <c r="F25" i="2"/>
  <c r="D14" i="2"/>
  <c r="D20" i="2" s="1"/>
  <c r="F31" i="2"/>
  <c r="H31" i="2" s="1"/>
  <c r="F35" i="2"/>
  <c r="H35" i="2" s="1"/>
  <c r="F38" i="2"/>
  <c r="H38" i="2" s="1"/>
  <c r="F67" i="2"/>
  <c r="H67" i="2" s="1"/>
  <c r="F70" i="2"/>
  <c r="H70" i="2" s="1"/>
  <c r="F45" i="4"/>
  <c r="H45" i="4" s="1"/>
  <c r="F49" i="4"/>
  <c r="H49" i="4" s="1"/>
  <c r="F52" i="4"/>
  <c r="H52" i="4" s="1"/>
  <c r="D12" i="6"/>
  <c r="F13" i="4" l="1"/>
  <c r="E16" i="5"/>
  <c r="E18" i="4"/>
  <c r="F18" i="4" s="1"/>
  <c r="E16" i="2"/>
  <c r="F16" i="2" s="1"/>
  <c r="E14" i="5"/>
  <c r="F14" i="5" s="1"/>
  <c r="E18" i="5"/>
  <c r="F18" i="5" s="1"/>
  <c r="E14" i="4"/>
  <c r="E18" i="2"/>
  <c r="F18" i="2" s="1"/>
  <c r="E15" i="2"/>
  <c r="F15" i="2" s="1"/>
  <c r="E13" i="5"/>
  <c r="F13" i="5" s="1"/>
  <c r="F19" i="4"/>
  <c r="E14" i="2"/>
  <c r="E13" i="2"/>
  <c r="F13" i="2" s="1"/>
  <c r="E13" i="6"/>
  <c r="F13" i="6" s="1"/>
  <c r="E13" i="3"/>
  <c r="F13" i="3" s="1"/>
  <c r="E14" i="6"/>
  <c r="F14" i="6" s="1"/>
  <c r="F74" i="5"/>
  <c r="F19" i="3"/>
  <c r="F14" i="2"/>
  <c r="E15" i="6"/>
  <c r="F15" i="6" s="1"/>
  <c r="F74" i="6"/>
  <c r="H25" i="6"/>
  <c r="E16" i="4"/>
  <c r="F16" i="4" s="1"/>
  <c r="E16" i="6"/>
  <c r="F16" i="5"/>
  <c r="F16" i="6"/>
  <c r="E14" i="3"/>
  <c r="F14" i="3" s="1"/>
  <c r="E23" i="1"/>
  <c r="F15" i="1"/>
  <c r="E16" i="3"/>
  <c r="F16" i="3" s="1"/>
  <c r="E18" i="3"/>
  <c r="F18" i="3" s="1"/>
  <c r="E18" i="6"/>
  <c r="F18" i="6" s="1"/>
  <c r="E15" i="3"/>
  <c r="F15" i="3" s="1"/>
  <c r="F14" i="4"/>
  <c r="F17" i="6"/>
  <c r="E15" i="5"/>
  <c r="F15" i="5" s="1"/>
  <c r="H74" i="5"/>
  <c r="E12" i="5"/>
  <c r="D20" i="6"/>
  <c r="F74" i="4"/>
  <c r="H25" i="4"/>
  <c r="F74" i="3"/>
  <c r="H25" i="3"/>
  <c r="F74" i="2"/>
  <c r="H25" i="2"/>
  <c r="F19" i="6"/>
  <c r="D20" i="4"/>
  <c r="D20" i="3"/>
  <c r="E12" i="2" l="1"/>
  <c r="H74" i="2"/>
  <c r="E12" i="3"/>
  <c r="H74" i="3"/>
  <c r="E20" i="5"/>
  <c r="F12" i="5"/>
  <c r="H74" i="4"/>
  <c r="E12" i="4"/>
  <c r="H74" i="6"/>
  <c r="E12" i="6"/>
  <c r="B9" i="1"/>
  <c r="B10" i="1" s="1"/>
  <c r="F23" i="1"/>
  <c r="E20" i="2" l="1"/>
  <c r="F12" i="2"/>
  <c r="E20" i="6"/>
  <c r="F12" i="6"/>
  <c r="E20" i="3"/>
  <c r="F12" i="3"/>
  <c r="B6" i="5"/>
  <c r="B7" i="5" s="1"/>
  <c r="F20" i="5"/>
  <c r="E20" i="4"/>
  <c r="F12" i="4"/>
  <c r="B6" i="3" l="1"/>
  <c r="B7" i="3" s="1"/>
  <c r="F20" i="3"/>
  <c r="B6" i="6"/>
  <c r="B7" i="6" s="1"/>
  <c r="F20" i="6"/>
  <c r="B6" i="4"/>
  <c r="B7" i="4" s="1"/>
  <c r="F20" i="4"/>
  <c r="B6" i="2"/>
  <c r="B7" i="2" s="1"/>
  <c r="F20" i="2"/>
</calcChain>
</file>

<file path=xl/sharedStrings.xml><?xml version="1.0" encoding="utf-8"?>
<sst xmlns="http://schemas.openxmlformats.org/spreadsheetml/2006/main" count="737" uniqueCount="87">
  <si>
    <t>PORTFOLIO ALLOCATION SIMULATOR</t>
  </si>
  <si>
    <t>STARTING BALANCE:</t>
  </si>
  <si>
    <t>← CHANGE THIS VALUE</t>
  </si>
  <si>
    <t>PORTFOLIO SUMMARY</t>
  </si>
  <si>
    <t>Total Strategies:</t>
  </si>
  <si>
    <t>Total Trading Pairs:</t>
  </si>
  <si>
    <t>Total Allocated Capital:</t>
  </si>
  <si>
    <t>Expected Annual Profit:</t>
  </si>
  <si>
    <t>Expected Annual Return:</t>
  </si>
  <si>
    <t>STRATEGY ALLOCATION SUMMARY</t>
  </si>
  <si>
    <t>Strategy</t>
  </si>
  <si>
    <t>Pairs</t>
  </si>
  <si>
    <t>Weight %</t>
  </si>
  <si>
    <t>Allocated Capital</t>
  </si>
  <si>
    <t>Expected Profit</t>
  </si>
  <si>
    <t>Return %</t>
  </si>
  <si>
    <t>Golden Stallion</t>
  </si>
  <si>
    <t>Silver Falcon</t>
  </si>
  <si>
    <t>Iron Bear</t>
  </si>
  <si>
    <t>Night Wolf</t>
  </si>
  <si>
    <t>Red Kraken</t>
  </si>
  <si>
    <t>Black Dragon</t>
  </si>
  <si>
    <t>Twin Fox</t>
  </si>
  <si>
    <t>Shadow Owl</t>
  </si>
  <si>
    <t>TOTAL</t>
  </si>
  <si>
    <t>DETAILED PAIR ALLOCATION</t>
  </si>
  <si>
    <t>Pair</t>
  </si>
  <si>
    <t>Strategy Weight %</t>
  </si>
  <si>
    <t>Pair Weight %</t>
  </si>
  <si>
    <t>Allocation Method</t>
  </si>
  <si>
    <t>Annual Return %</t>
  </si>
  <si>
    <t>Sharpe Ratio</t>
  </si>
  <si>
    <t>Max Drawdown</t>
  </si>
  <si>
    <t>Min Required Capital</t>
  </si>
  <si>
    <t>XAGUSD</t>
  </si>
  <si>
    <t>Sharpe</t>
  </si>
  <si>
    <t>XAUUSD</t>
  </si>
  <si>
    <t>USDJPY_Grid</t>
  </si>
  <si>
    <t>Risk Parity</t>
  </si>
  <si>
    <t>XAUUSD_Grid</t>
  </si>
  <si>
    <t>V5</t>
  </si>
  <si>
    <t>v5-v2 - Tp 60,SL 60 all day</t>
  </si>
  <si>
    <t>EURJPY</t>
  </si>
  <si>
    <t>EURCHF</t>
  </si>
  <si>
    <t>EURUSD</t>
  </si>
  <si>
    <t>USDCAD</t>
  </si>
  <si>
    <t>AUDUSD</t>
  </si>
  <si>
    <t>AUDJPY</t>
  </si>
  <si>
    <t>GBPUSD</t>
  </si>
  <si>
    <t>EURAUD</t>
  </si>
  <si>
    <t>AUDUSD_AUDCAD</t>
  </si>
  <si>
    <t>Max Sharpe</t>
  </si>
  <si>
    <t>EURGBP_GBPCHF</t>
  </si>
  <si>
    <t>USDCAD_AUDCHF</t>
  </si>
  <si>
    <t>EURUSD_AUDUSD</t>
  </si>
  <si>
    <t>EURUSD_GBPUSD</t>
  </si>
  <si>
    <t>GBPAUD</t>
  </si>
  <si>
    <t>GBPCAD</t>
  </si>
  <si>
    <t>USDCHF</t>
  </si>
  <si>
    <t>CADCHF</t>
  </si>
  <si>
    <t>EURCAD</t>
  </si>
  <si>
    <t>NZDCHF</t>
  </si>
  <si>
    <t>GBPCHF</t>
  </si>
  <si>
    <t>USDJPY</t>
  </si>
  <si>
    <t>EURGBP</t>
  </si>
  <si>
    <t>Inv Vol</t>
  </si>
  <si>
    <t>GBPUSD_USDCHF</t>
  </si>
  <si>
    <t>AUDUSD_GBPNZD</t>
  </si>
  <si>
    <t>GBPUSD_USDCAD</t>
  </si>
  <si>
    <t>EURAUD_CADCHF</t>
  </si>
  <si>
    <t>ALL_PAIRS</t>
  </si>
  <si>
    <t>PROFIT SIMULATION - EQUAL WEIGHT</t>
  </si>
  <si>
    <t>Starting Balance (from main sheet):</t>
  </si>
  <si>
    <t>Total Expected Annual Profit:</t>
  </si>
  <si>
    <t>Portfolio Annual Return:</t>
  </si>
  <si>
    <t>STRATEGY LEVEL ALLOCATION</t>
  </si>
  <si>
    <t>Expected Annual Profit</t>
  </si>
  <si>
    <t>PAIR LEVEL ALLOCATION</t>
  </si>
  <si>
    <t>Strategy Wt %</t>
  </si>
  <si>
    <t>Pair Wt %</t>
  </si>
  <si>
    <t>Combined Wt %</t>
  </si>
  <si>
    <t>Max DD</t>
  </si>
  <si>
    <t>PROFIT SIMULATION - INVERSE VOLATILITY</t>
  </si>
  <si>
    <t>PROFIT SIMULATION - SHARPE WEIGHTED</t>
  </si>
  <si>
    <t>PROFIT SIMULATION - RISK PARITY</t>
  </si>
  <si>
    <t>PROFIT SIMULATION - MAX SHARPE OPTIMIZATION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</si>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</sst>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3" x14ac:knownFonts="1">
    <font>
      <sz val="11"/>
      <color theme="1"/>
      <name val="Calibri"/>
      <family val="2"/>
      <scheme val="minor"/>
    </font>
    <font>
      <b/>
      <sz val="18"/>
      <color rgb="FF2F5496"/>
      <name val="Calibri"/>
      <family val="2"/>
    </font>
    <font>
      <b/>
      <sz val="14"/>
      <name val="Calibri"/>
      <family val="2"/>
    </font>
    <font>
      <b/>
      <sz val="14"/>
      <color rgb="FF008000"/>
      <name val="Calibri"/>
      <family val="2"/>
    </font>
    <font>
      <i/>
      <sz val="11"/>
      <color rgb="FFFF0000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6"/>
      <color rgb="FF2F5496"/>
      <name val="Calibri"/>
      <family val="2"/>
    </font>
    <font>
      <b/>
      <sz val="12"/>
      <name val="Calibri"/>
      <family val="2"/>
    </font>
    <font>
      <b/>
      <sz val="12"/>
      <color rgb="FF008000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5496"/>
        <bgColor rgb="FF2F5496"/>
      </patternFill>
    </fill>
    <fill>
      <patternFill patternType="solid">
        <fgColor rgb="FFE2EFDA"/>
        <bgColor rgb="FFE2EFDA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0" fontId="4" fillId="0" borderId="0" xfId="0" applyFont="1"/>
    <xf numFmtId="0" fontId="6" fillId="5" borderId="2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10" fontId="0" fillId="0" borderId="2" xfId="0" applyNumberFormat="1" applyBorder="1" applyAlignment="1">
      <alignment horizontal="center"/>
    </xf>
    <xf numFmtId="164" fontId="0" fillId="4" borderId="2" xfId="0" applyNumberFormat="1" applyFill="1" applyBorder="1"/>
    <xf numFmtId="10" fontId="0" fillId="4" borderId="2" xfId="0" applyNumberFormat="1" applyFill="1" applyBorder="1"/>
    <xf numFmtId="0" fontId="7" fillId="6" borderId="2" xfId="0" applyFont="1" applyFill="1" applyBorder="1"/>
    <xf numFmtId="10" fontId="7" fillId="6" borderId="2" xfId="0" applyNumberFormat="1" applyFont="1" applyFill="1" applyBorder="1"/>
    <xf numFmtId="164" fontId="7" fillId="6" borderId="2" xfId="0" applyNumberFormat="1" applyFont="1" applyFill="1" applyBorder="1"/>
    <xf numFmtId="0" fontId="6" fillId="5" borderId="2" xfId="0" applyFont="1" applyFill="1" applyBorder="1" applyAlignment="1">
      <alignment horizontal="center" wrapText="1"/>
    </xf>
    <xf numFmtId="10" fontId="0" fillId="0" borderId="2" xfId="0" applyNumberFormat="1" applyBorder="1"/>
    <xf numFmtId="2" fontId="0" fillId="0" borderId="2" xfId="0" applyNumberFormat="1" applyBorder="1"/>
    <xf numFmtId="164" fontId="0" fillId="0" borderId="2" xfId="0" applyNumberFormat="1" applyBorder="1"/>
    <xf numFmtId="0" fontId="0" fillId="6" borderId="2" xfId="0" applyFill="1" applyBorder="1"/>
    <xf numFmtId="0" fontId="9" fillId="0" borderId="0" xfId="0" applyFont="1"/>
    <xf numFmtId="164" fontId="10" fillId="4" borderId="0" xfId="0" applyNumberFormat="1" applyFont="1" applyFill="1"/>
    <xf numFmtId="0" fontId="12" fillId="5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 wrapText="1"/>
    </xf>
    <xf numFmtId="0" fontId="5" fillId="3" borderId="0" xfId="0" applyFont="1" applyFill="1"/>
    <xf numFmtId="0" fontId="0" fillId="0" borderId="0" xfId="0"/>
    <xf numFmtId="0" fontId="1" fillId="0" borderId="0" xfId="0" applyFont="1"/>
    <xf numFmtId="0" fontId="11" fillId="3" borderId="0" xfId="0" applyFont="1" applyFill="1"/>
    <xf numFmtId="0" fontId="8" fillId="0" borderId="0" xfId="0" applyFont="1"/>
    <xf numFmtId="0" fontId="5" fillId="3" borderId="2" xfId="0" applyFont="1" applyFill="1" applyBorder="1"/>
    <xf numFmtId="0" fontId="0" fillId="0" borderId="2" xfId="0" applyBorder="1"/>
    <xf numFmtId="0" fontId="6" fillId="0" borderId="2" xfId="0" applyFont="1" applyBorder="1"/>
    <xf numFmtId="0" fontId="7" fillId="0" borderId="2" xfId="0" applyFont="1" applyBorder="1"/>
    <xf numFmtId="164" fontId="7" fillId="4" borderId="2" xfId="0" applyNumberFormat="1" applyFont="1" applyFill="1" applyBorder="1"/>
    <xf numFmtId="10" fontId="7" fillId="4" borderId="2" xfId="0" applyNumberFormat="1" applyFont="1" applyFill="1" applyBorder="1"/>
    <xf numFmtId="0" fontId="11" fillId="3" borderId="2" xfId="0" applyFont="1" applyFill="1" applyBorder="1"/>
    <xf numFmtId="0" fontId="12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workbookViewId="0">
      <selection activeCell="K77" sqref="K77"/>
    </sheetView>
  </sheetViews>
  <sheetFormatPr baseColWidth="10" defaultColWidth="8.83203125" defaultRowHeight="15" x14ac:dyDescent="0.2"/>
  <cols>
    <col min="1" max="1" width="22" customWidth="1"/>
    <col min="2" max="2" width="28" customWidth="1"/>
    <col min="3" max="3" width="16" customWidth="1"/>
    <col min="4" max="4" width="14" customWidth="1"/>
    <col min="5" max="6" width="18" customWidth="1"/>
    <col min="7" max="7" width="16" customWidth="1"/>
    <col min="8" max="8" width="18" customWidth="1"/>
    <col min="9" max="9" width="12" customWidth="1"/>
    <col min="10" max="10" width="14" customWidth="1"/>
    <col min="11" max="11" width="16" customWidth="1"/>
  </cols>
  <sheetData>
    <row r="1" spans="1:8" ht="24" x14ac:dyDescent="0.3">
      <c r="A1" s="24" t="s">
        <v>0</v>
      </c>
      <c r="B1" s="23"/>
      <c r="C1" s="23"/>
      <c r="D1" s="23"/>
      <c r="E1" s="23"/>
      <c r="F1" s="23"/>
      <c r="G1" s="23"/>
      <c r="H1" s="23"/>
    </row>
    <row r="3" spans="1:8" ht="19" x14ac:dyDescent="0.25">
      <c r="A3" s="1" t="s">
        <v>1</v>
      </c>
      <c r="B3" s="2">
        <v>100000</v>
      </c>
      <c r="C3" s="3" t="s">
        <v>2</v>
      </c>
    </row>
    <row r="5" spans="1:8" ht="19" x14ac:dyDescent="0.25">
      <c r="A5" s="27" t="s">
        <v>3</v>
      </c>
      <c r="B5" s="28"/>
      <c r="C5" s="28"/>
      <c r="D5" s="28"/>
    </row>
    <row r="6" spans="1:8" x14ac:dyDescent="0.2">
      <c r="A6" s="29" t="s">
        <v>4</v>
      </c>
      <c r="B6" s="30">
        <v>8</v>
      </c>
      <c r="C6" s="5"/>
      <c r="D6" s="5"/>
    </row>
    <row r="7" spans="1:8" x14ac:dyDescent="0.2">
      <c r="A7" s="29" t="s">
        <v>5</v>
      </c>
      <c r="B7" s="30">
        <v>41</v>
      </c>
      <c r="C7" s="5"/>
      <c r="D7" s="5"/>
    </row>
    <row r="8" spans="1:8" x14ac:dyDescent="0.2">
      <c r="A8" s="29" t="s">
        <v>6</v>
      </c>
      <c r="B8" s="31">
        <f>B3</f>
        <v>100000</v>
      </c>
      <c r="C8" s="5"/>
      <c r="D8" s="5"/>
    </row>
    <row r="9" spans="1:8" x14ac:dyDescent="0.2">
      <c r="A9" s="29" t="s">
        <v>7</v>
      </c>
      <c r="B9" s="31">
        <f>E23</f>
        <v>25042.342342896343</v>
      </c>
      <c r="C9" s="5"/>
      <c r="D9" s="5"/>
    </row>
    <row r="10" spans="1:8" x14ac:dyDescent="0.2">
      <c r="A10" s="29" t="s">
        <v>8</v>
      </c>
      <c r="B10" s="32">
        <f>IF(B8&gt;0,B9/B8,0)</f>
        <v>0.25042342342896345</v>
      </c>
      <c r="C10" s="5"/>
      <c r="D10" s="5"/>
    </row>
    <row r="13" spans="1:8" ht="19" x14ac:dyDescent="0.25">
      <c r="A13" s="22" t="s">
        <v>9</v>
      </c>
      <c r="B13" s="23"/>
      <c r="C13" s="23"/>
      <c r="D13" s="23"/>
      <c r="E13" s="23"/>
      <c r="F13" s="23"/>
    </row>
    <row r="14" spans="1:8" x14ac:dyDescent="0.2">
      <c r="A14" s="4" t="s">
        <v>10</v>
      </c>
      <c r="B14" s="4" t="s">
        <v>11</v>
      </c>
      <c r="C14" s="4" t="s">
        <v>12</v>
      </c>
      <c r="D14" s="4" t="s">
        <v>13</v>
      </c>
      <c r="E14" s="4" t="s">
        <v>14</v>
      </c>
      <c r="F14" s="4" t="s">
        <v>15</v>
      </c>
    </row>
    <row r="15" spans="1:8" x14ac:dyDescent="0.2">
      <c r="A15" s="5" t="s">
        <v>16</v>
      </c>
      <c r="B15" s="6">
        <v>2</v>
      </c>
      <c r="C15" s="7">
        <v>0.125</v>
      </c>
      <c r="D15" s="8">
        <f>B3*C15</f>
        <v>12500</v>
      </c>
      <c r="E15" s="8">
        <f>SUMIF(A28:A75,A15,H28:H75)</f>
        <v>3771.9483581481177</v>
      </c>
      <c r="F15" s="9">
        <f t="shared" ref="F15:F23" si="0">IF(D15&gt;0,E15/D15,0)</f>
        <v>0.30175586865184939</v>
      </c>
    </row>
    <row r="16" spans="1:8" x14ac:dyDescent="0.2">
      <c r="A16" s="5" t="s">
        <v>17</v>
      </c>
      <c r="B16" s="6">
        <v>2</v>
      </c>
      <c r="C16" s="7">
        <v>0.125</v>
      </c>
      <c r="D16" s="8">
        <f>B3*C16</f>
        <v>12500</v>
      </c>
      <c r="E16" s="8">
        <f>SUMIF(A28:A75,A16,H28:H75)</f>
        <v>4118.3182597416453</v>
      </c>
      <c r="F16" s="9">
        <f t="shared" si="0"/>
        <v>0.32946546077933164</v>
      </c>
    </row>
    <row r="17" spans="1:11" x14ac:dyDescent="0.2">
      <c r="A17" s="5" t="s">
        <v>18</v>
      </c>
      <c r="B17" s="6">
        <v>8</v>
      </c>
      <c r="C17" s="7">
        <v>0.125</v>
      </c>
      <c r="D17" s="8">
        <f>B3*C17</f>
        <v>12500</v>
      </c>
      <c r="E17" s="8">
        <f>SUMIF(A28:A75,A17,H28:H75)</f>
        <v>4479.6629008235759</v>
      </c>
      <c r="F17" s="9">
        <f t="shared" si="0"/>
        <v>0.35837303206588605</v>
      </c>
    </row>
    <row r="18" spans="1:11" x14ac:dyDescent="0.2">
      <c r="A18" s="5" t="s">
        <v>19</v>
      </c>
      <c r="B18" s="6">
        <v>6</v>
      </c>
      <c r="C18" s="7">
        <v>0.125</v>
      </c>
      <c r="D18" s="8">
        <f>B3*C18</f>
        <v>12500</v>
      </c>
      <c r="E18" s="8">
        <f>SUMIF(A28:A75,A18,H28:H75)</f>
        <v>2457.1164074274925</v>
      </c>
      <c r="F18" s="9">
        <f t="shared" si="0"/>
        <v>0.19656931259419941</v>
      </c>
    </row>
    <row r="19" spans="1:11" x14ac:dyDescent="0.2">
      <c r="A19" s="5" t="s">
        <v>20</v>
      </c>
      <c r="B19" s="6">
        <v>15</v>
      </c>
      <c r="C19" s="7">
        <v>0.125</v>
      </c>
      <c r="D19" s="8">
        <f>B3*C19</f>
        <v>12500</v>
      </c>
      <c r="E19" s="8">
        <f>SUMIF(A28:A75,A19,H28:H75)</f>
        <v>1865.062908131998</v>
      </c>
      <c r="F19" s="9">
        <f t="shared" si="0"/>
        <v>0.14920503265055984</v>
      </c>
    </row>
    <row r="20" spans="1:11" x14ac:dyDescent="0.2">
      <c r="A20" s="5" t="s">
        <v>21</v>
      </c>
      <c r="B20" s="6">
        <v>2</v>
      </c>
      <c r="C20" s="7">
        <v>0.125</v>
      </c>
      <c r="D20" s="8">
        <f>B3*C20</f>
        <v>12500</v>
      </c>
      <c r="E20" s="8">
        <f>SUMIF(A28:A75,A20,H28:H75)</f>
        <v>2564.5203334377829</v>
      </c>
      <c r="F20" s="9">
        <f t="shared" si="0"/>
        <v>0.20516162667502263</v>
      </c>
    </row>
    <row r="21" spans="1:11" x14ac:dyDescent="0.2">
      <c r="A21" s="5" t="s">
        <v>22</v>
      </c>
      <c r="B21" s="6">
        <v>5</v>
      </c>
      <c r="C21" s="7">
        <v>0.125</v>
      </c>
      <c r="D21" s="8">
        <f>B3*C21</f>
        <v>12500</v>
      </c>
      <c r="E21" s="8">
        <f>SUMIF(A28:A75,A21,H28:H75)</f>
        <v>2728.8595557003132</v>
      </c>
      <c r="F21" s="9">
        <f t="shared" si="0"/>
        <v>0.21830876445602507</v>
      </c>
    </row>
    <row r="22" spans="1:11" x14ac:dyDescent="0.2">
      <c r="A22" s="5" t="s">
        <v>23</v>
      </c>
      <c r="B22" s="6">
        <v>1</v>
      </c>
      <c r="C22" s="7">
        <v>0.125</v>
      </c>
      <c r="D22" s="8">
        <f>B3*C22</f>
        <v>12500</v>
      </c>
      <c r="E22" s="8">
        <f>SUMIF(A28:A75,A22,H28:H75)</f>
        <v>3056.8536194854173</v>
      </c>
      <c r="F22" s="9">
        <f t="shared" si="0"/>
        <v>0.2445482895588334</v>
      </c>
    </row>
    <row r="23" spans="1:11" x14ac:dyDescent="0.2">
      <c r="A23" s="10" t="s">
        <v>24</v>
      </c>
      <c r="B23" s="10">
        <f>SUM(B15:B22)</f>
        <v>41</v>
      </c>
      <c r="C23" s="11">
        <f>SUM(C15:C22)</f>
        <v>1</v>
      </c>
      <c r="D23" s="12">
        <f>SUM(D15:D22)</f>
        <v>100000</v>
      </c>
      <c r="E23" s="12">
        <f>SUM(E15:E22)</f>
        <v>25042.342342896343</v>
      </c>
      <c r="F23" s="11">
        <f t="shared" si="0"/>
        <v>0.25042342342896345</v>
      </c>
    </row>
    <row r="26" spans="1:11" ht="19" x14ac:dyDescent="0.25">
      <c r="A26" s="22" t="s">
        <v>25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spans="1:11" ht="32" x14ac:dyDescent="0.2">
      <c r="A27" s="13" t="s">
        <v>10</v>
      </c>
      <c r="B27" s="13" t="s">
        <v>26</v>
      </c>
      <c r="C27" s="13" t="s">
        <v>27</v>
      </c>
      <c r="D27" s="13" t="s">
        <v>28</v>
      </c>
      <c r="E27" s="13" t="s">
        <v>29</v>
      </c>
      <c r="F27" s="13" t="s">
        <v>13</v>
      </c>
      <c r="G27" s="13" t="s">
        <v>30</v>
      </c>
      <c r="H27" s="13" t="s">
        <v>14</v>
      </c>
      <c r="I27" s="13" t="s">
        <v>31</v>
      </c>
      <c r="J27" s="13" t="s">
        <v>32</v>
      </c>
      <c r="K27" s="13" t="s">
        <v>33</v>
      </c>
    </row>
    <row r="28" spans="1:11" x14ac:dyDescent="0.2">
      <c r="A28" s="5" t="s">
        <v>16</v>
      </c>
      <c r="B28" s="5" t="s">
        <v>34</v>
      </c>
      <c r="C28" s="14">
        <v>0.125</v>
      </c>
      <c r="D28" s="14">
        <v>0.5222</v>
      </c>
      <c r="E28" s="5" t="s">
        <v>35</v>
      </c>
      <c r="F28" s="8">
        <f>B3*C28*D28</f>
        <v>6527.5</v>
      </c>
      <c r="G28" s="14">
        <v>0.2832023821672856</v>
      </c>
      <c r="H28" s="8">
        <f>F28*G28</f>
        <v>1848.6035495969568</v>
      </c>
      <c r="I28" s="15">
        <v>1.53</v>
      </c>
      <c r="J28" s="16">
        <v>752</v>
      </c>
      <c r="K28" s="16">
        <v>1504</v>
      </c>
    </row>
    <row r="29" spans="1:11" x14ac:dyDescent="0.2">
      <c r="A29" s="5" t="s">
        <v>16</v>
      </c>
      <c r="B29" s="5" t="s">
        <v>36</v>
      </c>
      <c r="C29" s="14">
        <v>0.125</v>
      </c>
      <c r="D29" s="14">
        <v>0.4778</v>
      </c>
      <c r="E29" s="5" t="s">
        <v>35</v>
      </c>
      <c r="F29" s="8">
        <f>B3*C29*D29</f>
        <v>5972.5</v>
      </c>
      <c r="G29" s="14">
        <v>0.3220334547595079</v>
      </c>
      <c r="H29" s="8">
        <f>F29*G29</f>
        <v>1923.3448085511609</v>
      </c>
      <c r="I29" s="15">
        <v>1.4</v>
      </c>
      <c r="J29" s="16">
        <v>580</v>
      </c>
      <c r="K29" s="16">
        <v>1160</v>
      </c>
    </row>
    <row r="31" spans="1:11" x14ac:dyDescent="0.2">
      <c r="A31" s="5" t="s">
        <v>21</v>
      </c>
      <c r="B31" s="5" t="s">
        <v>37</v>
      </c>
      <c r="C31" s="14">
        <v>0.125</v>
      </c>
      <c r="D31" s="14">
        <v>0.63479999999999992</v>
      </c>
      <c r="E31" s="5" t="s">
        <v>38</v>
      </c>
      <c r="F31" s="8">
        <f>B3*C31*D31</f>
        <v>7934.9999999999991</v>
      </c>
      <c r="G31" s="14">
        <v>0.1575684854596989</v>
      </c>
      <c r="H31" s="8">
        <f>F31*G31</f>
        <v>1250.3059321227106</v>
      </c>
      <c r="I31" s="15">
        <v>5.77</v>
      </c>
      <c r="J31" s="16">
        <v>3319</v>
      </c>
      <c r="K31" s="16">
        <v>6638</v>
      </c>
    </row>
    <row r="32" spans="1:11" x14ac:dyDescent="0.2">
      <c r="A32" s="5" t="s">
        <v>21</v>
      </c>
      <c r="B32" s="5" t="s">
        <v>39</v>
      </c>
      <c r="C32" s="14">
        <v>0.125</v>
      </c>
      <c r="D32" s="14">
        <v>0.36520000000000002</v>
      </c>
      <c r="E32" s="5" t="s">
        <v>38</v>
      </c>
      <c r="F32" s="8">
        <f>B3*C32*D32</f>
        <v>4565</v>
      </c>
      <c r="G32" s="14">
        <v>0.28788924453780329</v>
      </c>
      <c r="H32" s="8">
        <f>F32*G32</f>
        <v>1314.2144013150721</v>
      </c>
      <c r="I32" s="15">
        <v>2</v>
      </c>
      <c r="J32" s="16">
        <v>6752</v>
      </c>
      <c r="K32" s="16">
        <v>13504</v>
      </c>
    </row>
    <row r="34" spans="1:11" x14ac:dyDescent="0.2">
      <c r="A34" s="5" t="s">
        <v>17</v>
      </c>
      <c r="B34" s="5" t="s">
        <v>40</v>
      </c>
      <c r="C34" s="14">
        <v>0.125</v>
      </c>
      <c r="D34" s="14">
        <v>0.69379999999999997</v>
      </c>
      <c r="E34" s="5" t="s">
        <v>38</v>
      </c>
      <c r="F34" s="8">
        <f>B3*C34*D34</f>
        <v>8672.5</v>
      </c>
      <c r="G34" s="14">
        <v>0.35841800574389149</v>
      </c>
      <c r="H34" s="8">
        <f>F34*G34</f>
        <v>3108.380154813899</v>
      </c>
      <c r="I34" s="15">
        <v>1.26</v>
      </c>
      <c r="J34" s="16">
        <v>556</v>
      </c>
      <c r="K34" s="16">
        <v>1112</v>
      </c>
    </row>
    <row r="35" spans="1:11" x14ac:dyDescent="0.2">
      <c r="A35" s="5" t="s">
        <v>17</v>
      </c>
      <c r="B35" s="5" t="s">
        <v>41</v>
      </c>
      <c r="C35" s="14">
        <v>0.125</v>
      </c>
      <c r="D35" s="14">
        <v>0.30620000000000003</v>
      </c>
      <c r="E35" s="5" t="s">
        <v>38</v>
      </c>
      <c r="F35" s="8">
        <f>B3*C35*D35</f>
        <v>3827.5000000000005</v>
      </c>
      <c r="G35" s="14">
        <v>0.26386364596414019</v>
      </c>
      <c r="H35" s="8">
        <f>F35*G35</f>
        <v>1009.9381049277467</v>
      </c>
      <c r="I35" s="15">
        <v>0.85</v>
      </c>
      <c r="J35" s="16">
        <v>2860</v>
      </c>
      <c r="K35" s="16">
        <v>5720</v>
      </c>
    </row>
    <row r="37" spans="1:11" x14ac:dyDescent="0.2">
      <c r="A37" s="5" t="s">
        <v>18</v>
      </c>
      <c r="B37" s="5" t="s">
        <v>42</v>
      </c>
      <c r="C37" s="14">
        <v>0.125</v>
      </c>
      <c r="D37" s="14">
        <v>0.27110000000000001</v>
      </c>
      <c r="E37" s="5" t="s">
        <v>38</v>
      </c>
      <c r="F37" s="8">
        <f>B3*C37*D37</f>
        <v>3388.75</v>
      </c>
      <c r="G37" s="14">
        <v>0.44153906110968588</v>
      </c>
      <c r="H37" s="8">
        <f t="shared" ref="H37:H44" si="1">F37*G37</f>
        <v>1496.2654933354481</v>
      </c>
      <c r="I37" s="15">
        <v>4.5199999999999996</v>
      </c>
      <c r="J37" s="16">
        <v>93.2</v>
      </c>
      <c r="K37" s="16">
        <v>186.4</v>
      </c>
    </row>
    <row r="38" spans="1:11" x14ac:dyDescent="0.2">
      <c r="A38" s="5" t="s">
        <v>18</v>
      </c>
      <c r="B38" s="5" t="s">
        <v>43</v>
      </c>
      <c r="C38" s="14">
        <v>0.125</v>
      </c>
      <c r="D38" s="14">
        <v>0.25309999999999999</v>
      </c>
      <c r="E38" s="5" t="s">
        <v>38</v>
      </c>
      <c r="F38" s="8">
        <f>B3*C38*D38</f>
        <v>3163.75</v>
      </c>
      <c r="G38" s="14">
        <v>0.47127271300184448</v>
      </c>
      <c r="H38" s="8">
        <f t="shared" si="1"/>
        <v>1490.9890457595855</v>
      </c>
      <c r="I38" s="15">
        <v>5.26</v>
      </c>
      <c r="J38" s="16">
        <v>116.2</v>
      </c>
      <c r="K38" s="16">
        <v>232.4</v>
      </c>
    </row>
    <row r="39" spans="1:11" x14ac:dyDescent="0.2">
      <c r="A39" s="5" t="s">
        <v>18</v>
      </c>
      <c r="B39" s="5" t="s">
        <v>44</v>
      </c>
      <c r="C39" s="14">
        <v>0.125</v>
      </c>
      <c r="D39" s="14">
        <v>0.12859999999999999</v>
      </c>
      <c r="E39" s="5" t="s">
        <v>38</v>
      </c>
      <c r="F39" s="8">
        <f>B3*C39*D39</f>
        <v>1607.5</v>
      </c>
      <c r="G39" s="14">
        <v>0.27756887439903111</v>
      </c>
      <c r="H39" s="8">
        <f t="shared" si="1"/>
        <v>446.19196559644251</v>
      </c>
      <c r="I39" s="15">
        <v>3.56</v>
      </c>
      <c r="J39" s="16">
        <v>154.80000000000001</v>
      </c>
      <c r="K39" s="16">
        <v>309.60000000000002</v>
      </c>
    </row>
    <row r="40" spans="1:11" x14ac:dyDescent="0.2">
      <c r="A40" s="5" t="s">
        <v>18</v>
      </c>
      <c r="B40" s="5" t="s">
        <v>45</v>
      </c>
      <c r="C40" s="14">
        <v>0.125</v>
      </c>
      <c r="D40" s="14">
        <v>0.113</v>
      </c>
      <c r="E40" s="5" t="s">
        <v>38</v>
      </c>
      <c r="F40" s="8">
        <f>B3*C40*D40</f>
        <v>1412.5</v>
      </c>
      <c r="G40" s="14">
        <v>0.25884111797353621</v>
      </c>
      <c r="H40" s="8">
        <f t="shared" si="1"/>
        <v>365.61307913761988</v>
      </c>
      <c r="I40" s="15">
        <v>7.21</v>
      </c>
      <c r="J40" s="16">
        <v>356.6</v>
      </c>
      <c r="K40" s="16">
        <v>713.2</v>
      </c>
    </row>
    <row r="41" spans="1:11" x14ac:dyDescent="0.2">
      <c r="A41" s="5" t="s">
        <v>18</v>
      </c>
      <c r="B41" s="5" t="s">
        <v>46</v>
      </c>
      <c r="C41" s="14">
        <v>0.125</v>
      </c>
      <c r="D41" s="14">
        <v>9.4600000000000004E-2</v>
      </c>
      <c r="E41" s="5" t="s">
        <v>38</v>
      </c>
      <c r="F41" s="8">
        <f>B3*C41*D41</f>
        <v>1182.5</v>
      </c>
      <c r="G41" s="14">
        <v>0.36557983602231447</v>
      </c>
      <c r="H41" s="8">
        <f t="shared" si="1"/>
        <v>432.29815609638689</v>
      </c>
      <c r="I41" s="15">
        <v>7.78</v>
      </c>
      <c r="J41" s="16">
        <v>459.6</v>
      </c>
      <c r="K41" s="16">
        <v>919.2</v>
      </c>
    </row>
    <row r="42" spans="1:11" x14ac:dyDescent="0.2">
      <c r="A42" s="5" t="s">
        <v>18</v>
      </c>
      <c r="B42" s="5" t="s">
        <v>47</v>
      </c>
      <c r="C42" s="14">
        <v>0.125</v>
      </c>
      <c r="D42" s="14">
        <v>6.3099999999999989E-2</v>
      </c>
      <c r="E42" s="5" t="s">
        <v>38</v>
      </c>
      <c r="F42" s="8">
        <f>B3*C42*D42</f>
        <v>788.74999999999989</v>
      </c>
      <c r="G42" s="14">
        <v>0.1223303009975288</v>
      </c>
      <c r="H42" s="8">
        <f t="shared" si="1"/>
        <v>96.488024911800821</v>
      </c>
      <c r="I42" s="15">
        <v>3.27</v>
      </c>
      <c r="J42" s="16">
        <v>289.60000000000002</v>
      </c>
      <c r="K42" s="16">
        <v>579.20000000000005</v>
      </c>
    </row>
    <row r="43" spans="1:11" x14ac:dyDescent="0.2">
      <c r="A43" s="5" t="s">
        <v>18</v>
      </c>
      <c r="B43" s="5" t="s">
        <v>48</v>
      </c>
      <c r="C43" s="14">
        <v>0.125</v>
      </c>
      <c r="D43" s="14">
        <v>3.8399999999999997E-2</v>
      </c>
      <c r="E43" s="5" t="s">
        <v>38</v>
      </c>
      <c r="F43" s="8">
        <f>B3*C43*D43</f>
        <v>479.99999999999994</v>
      </c>
      <c r="G43" s="14">
        <v>0.14789904989094621</v>
      </c>
      <c r="H43" s="8">
        <f t="shared" si="1"/>
        <v>70.991543947654179</v>
      </c>
      <c r="I43" s="15">
        <v>2.8</v>
      </c>
      <c r="J43" s="16">
        <v>408.1</v>
      </c>
      <c r="K43" s="16">
        <v>816.2</v>
      </c>
    </row>
    <row r="44" spans="1:11" x14ac:dyDescent="0.2">
      <c r="A44" s="5" t="s">
        <v>18</v>
      </c>
      <c r="B44" s="5" t="s">
        <v>49</v>
      </c>
      <c r="C44" s="14">
        <v>0.125</v>
      </c>
      <c r="D44" s="14">
        <v>3.7999999999999999E-2</v>
      </c>
      <c r="E44" s="5" t="s">
        <v>38</v>
      </c>
      <c r="F44" s="8">
        <f>B3*C44*D44</f>
        <v>475</v>
      </c>
      <c r="G44" s="14">
        <v>0.1701591411339754</v>
      </c>
      <c r="H44" s="8">
        <f t="shared" si="1"/>
        <v>80.82559203863832</v>
      </c>
      <c r="I44" s="15">
        <v>5.29</v>
      </c>
      <c r="J44" s="16">
        <v>778</v>
      </c>
      <c r="K44" s="16">
        <v>1556</v>
      </c>
    </row>
    <row r="46" spans="1:11" x14ac:dyDescent="0.2">
      <c r="A46" s="5" t="s">
        <v>22</v>
      </c>
      <c r="B46" s="5" t="s">
        <v>50</v>
      </c>
      <c r="C46" s="14">
        <v>0.125</v>
      </c>
      <c r="D46" s="14">
        <v>0.60130000000000006</v>
      </c>
      <c r="E46" s="5" t="s">
        <v>51</v>
      </c>
      <c r="F46" s="8">
        <f>B3*C46*D46</f>
        <v>7516.2500000000009</v>
      </c>
      <c r="G46" s="14">
        <v>0.20181423695599979</v>
      </c>
      <c r="H46" s="8">
        <f>F46*G46</f>
        <v>1516.8862585205336</v>
      </c>
      <c r="I46" s="15">
        <v>1.31</v>
      </c>
      <c r="J46" s="16">
        <v>705</v>
      </c>
      <c r="K46" s="16">
        <v>1410</v>
      </c>
    </row>
    <row r="47" spans="1:11" x14ac:dyDescent="0.2">
      <c r="A47" s="5" t="s">
        <v>22</v>
      </c>
      <c r="B47" s="5" t="s">
        <v>52</v>
      </c>
      <c r="C47" s="14">
        <v>0.125</v>
      </c>
      <c r="D47" s="14">
        <v>0.17299999999999999</v>
      </c>
      <c r="E47" s="5" t="s">
        <v>51</v>
      </c>
      <c r="F47" s="8">
        <f>B3*C47*D47</f>
        <v>2162.5</v>
      </c>
      <c r="G47" s="14">
        <v>0.22992520939506031</v>
      </c>
      <c r="H47" s="8">
        <f>F47*G47</f>
        <v>497.21326531681791</v>
      </c>
      <c r="I47" s="15">
        <v>0.84</v>
      </c>
      <c r="J47" s="16">
        <v>1779</v>
      </c>
      <c r="K47" s="16">
        <v>3558</v>
      </c>
    </row>
    <row r="48" spans="1:11" x14ac:dyDescent="0.2">
      <c r="A48" s="5" t="s">
        <v>22</v>
      </c>
      <c r="B48" s="5" t="s">
        <v>53</v>
      </c>
      <c r="C48" s="14">
        <v>0.125</v>
      </c>
      <c r="D48" s="14">
        <v>8.8399999999999992E-2</v>
      </c>
      <c r="E48" s="5" t="s">
        <v>51</v>
      </c>
      <c r="F48" s="8">
        <f>B3*C48*D48</f>
        <v>1105</v>
      </c>
      <c r="G48" s="14">
        <v>0.29823453644037468</v>
      </c>
      <c r="H48" s="8">
        <f>F48*G48</f>
        <v>329.54916276661402</v>
      </c>
      <c r="I48" s="15">
        <v>0.85</v>
      </c>
      <c r="J48" s="16">
        <v>4579</v>
      </c>
      <c r="K48" s="16">
        <v>9158</v>
      </c>
    </row>
    <row r="49" spans="1:11" x14ac:dyDescent="0.2">
      <c r="A49" s="5" t="s">
        <v>22</v>
      </c>
      <c r="B49" s="5" t="s">
        <v>54</v>
      </c>
      <c r="C49" s="14">
        <v>0.125</v>
      </c>
      <c r="D49" s="14">
        <v>8.3199999999999996E-2</v>
      </c>
      <c r="E49" s="5" t="s">
        <v>51</v>
      </c>
      <c r="F49" s="8">
        <f>B3*C49*D49</f>
        <v>1040</v>
      </c>
      <c r="G49" s="14">
        <v>0.28158882734069929</v>
      </c>
      <c r="H49" s="8">
        <f>F49*G49</f>
        <v>292.85238043432724</v>
      </c>
      <c r="I49" s="15">
        <v>0.76</v>
      </c>
      <c r="J49" s="16">
        <v>3596</v>
      </c>
      <c r="K49" s="16">
        <v>7192</v>
      </c>
    </row>
    <row r="50" spans="1:11" x14ac:dyDescent="0.2">
      <c r="A50" s="5" t="s">
        <v>22</v>
      </c>
      <c r="B50" s="5" t="s">
        <v>55</v>
      </c>
      <c r="C50" s="14">
        <v>0.125</v>
      </c>
      <c r="D50" s="14">
        <v>5.4100000000000002E-2</v>
      </c>
      <c r="E50" s="5" t="s">
        <v>51</v>
      </c>
      <c r="F50" s="8">
        <f>B3*C50*D50</f>
        <v>676.25</v>
      </c>
      <c r="G50" s="14">
        <v>0.13657447491611091</v>
      </c>
      <c r="H50" s="8">
        <f>F50*G50</f>
        <v>92.358488662020008</v>
      </c>
      <c r="I50" s="15">
        <v>0.56999999999999995</v>
      </c>
      <c r="J50" s="16">
        <v>2020</v>
      </c>
      <c r="K50" s="16">
        <v>4040</v>
      </c>
    </row>
    <row r="52" spans="1:11" x14ac:dyDescent="0.2">
      <c r="A52" s="5" t="s">
        <v>20</v>
      </c>
      <c r="B52" s="5" t="s">
        <v>46</v>
      </c>
      <c r="C52" s="14">
        <v>0.125</v>
      </c>
      <c r="D52" s="14">
        <v>0.2888</v>
      </c>
      <c r="E52" s="5" t="s">
        <v>38</v>
      </c>
      <c r="F52" s="8">
        <f>B3*C52*D52</f>
        <v>3610</v>
      </c>
      <c r="G52" s="14">
        <v>0.16363886831279811</v>
      </c>
      <c r="H52" s="8">
        <f t="shared" ref="H52:H66" si="2">F52*G52</f>
        <v>590.73631460920114</v>
      </c>
      <c r="I52" s="15">
        <v>4.26</v>
      </c>
      <c r="J52" s="16">
        <v>149.09</v>
      </c>
      <c r="K52" s="16">
        <v>298.18</v>
      </c>
    </row>
    <row r="53" spans="1:11" x14ac:dyDescent="0.2">
      <c r="A53" s="5" t="s">
        <v>20</v>
      </c>
      <c r="B53" s="5" t="s">
        <v>44</v>
      </c>
      <c r="C53" s="14">
        <v>0.125</v>
      </c>
      <c r="D53" s="14">
        <v>0.22420000000000001</v>
      </c>
      <c r="E53" s="5" t="s">
        <v>38</v>
      </c>
      <c r="F53" s="8">
        <f>B3*C53*D53</f>
        <v>2802.5</v>
      </c>
      <c r="G53" s="14">
        <v>0.2598882343822555</v>
      </c>
      <c r="H53" s="8">
        <f t="shared" si="2"/>
        <v>728.33677685627106</v>
      </c>
      <c r="I53" s="15">
        <v>3.13</v>
      </c>
      <c r="J53" s="16">
        <v>141.11000000000001</v>
      </c>
      <c r="K53" s="16">
        <v>282.22000000000003</v>
      </c>
    </row>
    <row r="54" spans="1:11" x14ac:dyDescent="0.2">
      <c r="A54" s="5" t="s">
        <v>20</v>
      </c>
      <c r="B54" s="5" t="s">
        <v>45</v>
      </c>
      <c r="C54" s="14">
        <v>0.125</v>
      </c>
      <c r="D54" s="14">
        <v>8.5600000000000009E-2</v>
      </c>
      <c r="E54" s="5" t="s">
        <v>38</v>
      </c>
      <c r="F54" s="8">
        <f>B3*C54*D54</f>
        <v>1070.0000000000002</v>
      </c>
      <c r="G54" s="14">
        <v>0.1188260555884741</v>
      </c>
      <c r="H54" s="8">
        <f t="shared" si="2"/>
        <v>127.14387947966732</v>
      </c>
      <c r="I54" s="15">
        <v>2.17</v>
      </c>
      <c r="J54" s="16">
        <v>256.2</v>
      </c>
      <c r="K54" s="16">
        <v>512.4</v>
      </c>
    </row>
    <row r="55" spans="1:11" x14ac:dyDescent="0.2">
      <c r="A55" s="5" t="s">
        <v>20</v>
      </c>
      <c r="B55" s="5" t="s">
        <v>56</v>
      </c>
      <c r="C55" s="14">
        <v>0.125</v>
      </c>
      <c r="D55" s="14">
        <v>8.1500000000000003E-2</v>
      </c>
      <c r="E55" s="5" t="s">
        <v>38</v>
      </c>
      <c r="F55" s="8">
        <f>B3*C55*D55</f>
        <v>1018.75</v>
      </c>
      <c r="G55" s="14">
        <v>0.12886538550677101</v>
      </c>
      <c r="H55" s="8">
        <f t="shared" si="2"/>
        <v>131.28161148502298</v>
      </c>
      <c r="I55" s="15">
        <v>2.61</v>
      </c>
      <c r="J55" s="16">
        <v>323.61</v>
      </c>
      <c r="K55" s="16">
        <v>647.22</v>
      </c>
    </row>
    <row r="56" spans="1:11" x14ac:dyDescent="0.2">
      <c r="A56" s="5" t="s">
        <v>20</v>
      </c>
      <c r="B56" s="5" t="s">
        <v>43</v>
      </c>
      <c r="C56" s="14">
        <v>0.125</v>
      </c>
      <c r="D56" s="14">
        <v>7.0000000000000007E-2</v>
      </c>
      <c r="E56" s="5" t="s">
        <v>38</v>
      </c>
      <c r="F56" s="8">
        <f>B3*C56*D56</f>
        <v>875.00000000000011</v>
      </c>
      <c r="G56" s="14">
        <v>9.243382392575511E-2</v>
      </c>
      <c r="H56" s="8">
        <f t="shared" si="2"/>
        <v>80.879595935035738</v>
      </c>
      <c r="I56" s="15">
        <v>1.85</v>
      </c>
      <c r="J56" s="16">
        <v>267.04000000000002</v>
      </c>
      <c r="K56" s="16">
        <v>534.08000000000004</v>
      </c>
    </row>
    <row r="57" spans="1:11" x14ac:dyDescent="0.2">
      <c r="A57" s="5" t="s">
        <v>20</v>
      </c>
      <c r="B57" s="5" t="s">
        <v>57</v>
      </c>
      <c r="C57" s="14">
        <v>0.125</v>
      </c>
      <c r="D57" s="14">
        <v>6.9400000000000003E-2</v>
      </c>
      <c r="E57" s="5" t="s">
        <v>38</v>
      </c>
      <c r="F57" s="8">
        <f>B3*C57*D57</f>
        <v>867.5</v>
      </c>
      <c r="G57" s="14">
        <v>0.10417987081779111</v>
      </c>
      <c r="H57" s="8">
        <f t="shared" si="2"/>
        <v>90.376037934433782</v>
      </c>
      <c r="I57" s="15">
        <v>2.1800000000000002</v>
      </c>
      <c r="J57" s="16">
        <v>317.39999999999998</v>
      </c>
      <c r="K57" s="16">
        <v>634.79999999999995</v>
      </c>
    </row>
    <row r="58" spans="1:11" x14ac:dyDescent="0.2">
      <c r="A58" s="5" t="s">
        <v>20</v>
      </c>
      <c r="B58" s="5" t="s">
        <v>58</v>
      </c>
      <c r="C58" s="14">
        <v>0.125</v>
      </c>
      <c r="D58" s="14">
        <v>2.98E-2</v>
      </c>
      <c r="E58" s="5" t="s">
        <v>38</v>
      </c>
      <c r="F58" s="8">
        <f>B3*C58*D58</f>
        <v>372.5</v>
      </c>
      <c r="G58" s="14">
        <v>6.1130900343341697E-2</v>
      </c>
      <c r="H58" s="8">
        <f t="shared" si="2"/>
        <v>22.771260377894784</v>
      </c>
      <c r="I58" s="15">
        <v>1.46</v>
      </c>
      <c r="J58" s="16">
        <v>495.84</v>
      </c>
      <c r="K58" s="16">
        <v>991.68</v>
      </c>
    </row>
    <row r="59" spans="1:11" x14ac:dyDescent="0.2">
      <c r="A59" s="5" t="s">
        <v>20</v>
      </c>
      <c r="B59" s="5" t="s">
        <v>59</v>
      </c>
      <c r="C59" s="14">
        <v>0.125</v>
      </c>
      <c r="D59" s="14">
        <v>2.7900000000000001E-2</v>
      </c>
      <c r="E59" s="5" t="s">
        <v>38</v>
      </c>
      <c r="F59" s="8">
        <f>B3*C59*D59</f>
        <v>348.75</v>
      </c>
      <c r="G59" s="14">
        <v>5.7237530744910788E-2</v>
      </c>
      <c r="H59" s="8">
        <f t="shared" si="2"/>
        <v>19.961588847287636</v>
      </c>
      <c r="I59" s="15">
        <v>1.53</v>
      </c>
      <c r="J59" s="16">
        <v>553.53</v>
      </c>
      <c r="K59" s="16">
        <v>1107.06</v>
      </c>
    </row>
    <row r="60" spans="1:11" x14ac:dyDescent="0.2">
      <c r="A60" s="5" t="s">
        <v>20</v>
      </c>
      <c r="B60" s="5" t="s">
        <v>60</v>
      </c>
      <c r="C60" s="14">
        <v>0.125</v>
      </c>
      <c r="D60" s="14">
        <v>2.2599999999999999E-2</v>
      </c>
      <c r="E60" s="5" t="s">
        <v>38</v>
      </c>
      <c r="F60" s="8">
        <f>B3*C60*D60</f>
        <v>282.5</v>
      </c>
      <c r="G60" s="14">
        <v>4.7725084123234861E-2</v>
      </c>
      <c r="H60" s="8">
        <f t="shared" si="2"/>
        <v>13.482336264813847</v>
      </c>
      <c r="I60" s="15">
        <v>1.0900000000000001</v>
      </c>
      <c r="J60" s="16">
        <v>486.55</v>
      </c>
      <c r="K60" s="16">
        <v>973.1</v>
      </c>
    </row>
    <row r="61" spans="1:11" x14ac:dyDescent="0.2">
      <c r="A61" s="5" t="s">
        <v>20</v>
      </c>
      <c r="B61" s="5" t="s">
        <v>61</v>
      </c>
      <c r="C61" s="14">
        <v>0.125</v>
      </c>
      <c r="D61" s="14">
        <v>2.1999999999999999E-2</v>
      </c>
      <c r="E61" s="5" t="s">
        <v>38</v>
      </c>
      <c r="F61" s="8">
        <f>B3*C61*D61</f>
        <v>275</v>
      </c>
      <c r="G61" s="14">
        <v>3.5871851794559401E-2</v>
      </c>
      <c r="H61" s="8">
        <f t="shared" si="2"/>
        <v>9.8647592435038352</v>
      </c>
      <c r="I61" s="15">
        <v>1.29</v>
      </c>
      <c r="J61" s="16">
        <v>592.92999999999995</v>
      </c>
      <c r="K61" s="16">
        <v>1185.8599999999999</v>
      </c>
    </row>
    <row r="62" spans="1:11" x14ac:dyDescent="0.2">
      <c r="A62" s="5" t="s">
        <v>20</v>
      </c>
      <c r="B62" s="5" t="s">
        <v>62</v>
      </c>
      <c r="C62" s="14">
        <v>0.125</v>
      </c>
      <c r="D62" s="14">
        <v>2.0199999999999999E-2</v>
      </c>
      <c r="E62" s="5" t="s">
        <v>38</v>
      </c>
      <c r="F62" s="8">
        <f>B3*C62*D62</f>
        <v>252.5</v>
      </c>
      <c r="G62" s="14">
        <v>7.5742052359749054E-2</v>
      </c>
      <c r="H62" s="8">
        <f t="shared" si="2"/>
        <v>19.124868220836635</v>
      </c>
      <c r="I62" s="15">
        <v>1.53</v>
      </c>
      <c r="J62" s="16">
        <v>763.98</v>
      </c>
      <c r="K62" s="16">
        <v>1527.96</v>
      </c>
    </row>
    <row r="63" spans="1:11" x14ac:dyDescent="0.2">
      <c r="A63" s="5" t="s">
        <v>20</v>
      </c>
      <c r="B63" s="5" t="s">
        <v>48</v>
      </c>
      <c r="C63" s="14">
        <v>0.125</v>
      </c>
      <c r="D63" s="14">
        <v>1.9199999999999998E-2</v>
      </c>
      <c r="E63" s="5" t="s">
        <v>38</v>
      </c>
      <c r="F63" s="8">
        <f>B3*C63*D63</f>
        <v>239.99999999999997</v>
      </c>
      <c r="G63" s="14">
        <v>5.6236613514713499E-2</v>
      </c>
      <c r="H63" s="8">
        <f t="shared" si="2"/>
        <v>13.496787243531237</v>
      </c>
      <c r="I63" s="15">
        <v>1.4</v>
      </c>
      <c r="J63" s="16">
        <v>735.54</v>
      </c>
      <c r="K63" s="16">
        <v>1471.08</v>
      </c>
    </row>
    <row r="64" spans="1:11" x14ac:dyDescent="0.2">
      <c r="A64" s="5" t="s">
        <v>20</v>
      </c>
      <c r="B64" s="5" t="s">
        <v>63</v>
      </c>
      <c r="C64" s="14">
        <v>0.125</v>
      </c>
      <c r="D64" s="14">
        <v>1.4500000000000001E-2</v>
      </c>
      <c r="E64" s="5" t="s">
        <v>38</v>
      </c>
      <c r="F64" s="8">
        <f>B3*C64*D64</f>
        <v>181.25</v>
      </c>
      <c r="G64" s="14">
        <v>4.0976469350020722E-2</v>
      </c>
      <c r="H64" s="8">
        <f t="shared" si="2"/>
        <v>7.4269850696912556</v>
      </c>
      <c r="I64" s="15">
        <v>0.97</v>
      </c>
      <c r="J64" s="16">
        <v>674.92</v>
      </c>
      <c r="K64" s="16">
        <v>1349.84</v>
      </c>
    </row>
    <row r="65" spans="1:11" x14ac:dyDescent="0.2">
      <c r="A65" s="5" t="s">
        <v>20</v>
      </c>
      <c r="B65" s="5" t="s">
        <v>64</v>
      </c>
      <c r="C65" s="14">
        <v>0.125</v>
      </c>
      <c r="D65" s="14">
        <v>1.4E-2</v>
      </c>
      <c r="E65" s="5" t="s">
        <v>38</v>
      </c>
      <c r="F65" s="8">
        <f>B3*C65*D65</f>
        <v>175</v>
      </c>
      <c r="G65" s="14">
        <v>3.3060293129844487E-2</v>
      </c>
      <c r="H65" s="8">
        <f t="shared" si="2"/>
        <v>5.785551297722785</v>
      </c>
      <c r="I65" s="15">
        <v>1.01</v>
      </c>
      <c r="J65" s="16">
        <v>727.1</v>
      </c>
      <c r="K65" s="16">
        <v>1454.2</v>
      </c>
    </row>
    <row r="66" spans="1:11" x14ac:dyDescent="0.2">
      <c r="A66" s="5" t="s">
        <v>20</v>
      </c>
      <c r="B66" s="5" t="s">
        <v>49</v>
      </c>
      <c r="C66" s="14">
        <v>0.125</v>
      </c>
      <c r="D66" s="14">
        <v>1.01E-2</v>
      </c>
      <c r="E66" s="5" t="s">
        <v>38</v>
      </c>
      <c r="F66" s="8">
        <f>B3*C66*D66</f>
        <v>126.25</v>
      </c>
      <c r="G66" s="14">
        <v>3.4808358551160698E-2</v>
      </c>
      <c r="H66" s="8">
        <f t="shared" si="2"/>
        <v>4.394555267084038</v>
      </c>
      <c r="I66" s="15">
        <v>1.01</v>
      </c>
      <c r="J66" s="16">
        <v>1262.53</v>
      </c>
      <c r="K66" s="16">
        <v>2525.06</v>
      </c>
    </row>
    <row r="68" spans="1:11" x14ac:dyDescent="0.2">
      <c r="A68" s="5" t="s">
        <v>19</v>
      </c>
      <c r="B68" s="5" t="s">
        <v>53</v>
      </c>
      <c r="C68" s="14">
        <v>0.125</v>
      </c>
      <c r="D68" s="14">
        <v>0.37559999999999999</v>
      </c>
      <c r="E68" s="5" t="s">
        <v>65</v>
      </c>
      <c r="F68" s="8">
        <f>B3*C68*D68</f>
        <v>4695</v>
      </c>
      <c r="G68" s="14">
        <v>0.31989785882370081</v>
      </c>
      <c r="H68" s="8">
        <f t="shared" ref="H68:H73" si="3">F68*G68</f>
        <v>1501.9204471772753</v>
      </c>
      <c r="I68" s="15">
        <v>0.9</v>
      </c>
      <c r="J68" s="16">
        <v>6.34</v>
      </c>
      <c r="K68" s="16">
        <v>12.68</v>
      </c>
    </row>
    <row r="69" spans="1:11" x14ac:dyDescent="0.2">
      <c r="A69" s="5" t="s">
        <v>19</v>
      </c>
      <c r="B69" s="5" t="s">
        <v>66</v>
      </c>
      <c r="C69" s="14">
        <v>0.125</v>
      </c>
      <c r="D69" s="14">
        <v>0.14149999999999999</v>
      </c>
      <c r="E69" s="5" t="s">
        <v>65</v>
      </c>
      <c r="F69" s="8">
        <f>B3*C69*D69</f>
        <v>1768.7499999999998</v>
      </c>
      <c r="G69" s="14">
        <v>0.1221737101234532</v>
      </c>
      <c r="H69" s="8">
        <f t="shared" si="3"/>
        <v>216.09474978085782</v>
      </c>
      <c r="I69" s="15">
        <v>0.85</v>
      </c>
      <c r="J69" s="16">
        <v>16.829999999999998</v>
      </c>
      <c r="K69" s="16">
        <v>33.659999999999997</v>
      </c>
    </row>
    <row r="70" spans="1:11" x14ac:dyDescent="0.2">
      <c r="A70" s="5" t="s">
        <v>19</v>
      </c>
      <c r="B70" s="5" t="s">
        <v>52</v>
      </c>
      <c r="C70" s="14">
        <v>0.125</v>
      </c>
      <c r="D70" s="14">
        <v>0.13930000000000001</v>
      </c>
      <c r="E70" s="5" t="s">
        <v>65</v>
      </c>
      <c r="F70" s="8">
        <f>B3*C70*D70</f>
        <v>1741.25</v>
      </c>
      <c r="G70" s="14">
        <v>0.10434506088802779</v>
      </c>
      <c r="H70" s="8">
        <f t="shared" si="3"/>
        <v>181.69083727127838</v>
      </c>
      <c r="I70" s="15">
        <v>0.9</v>
      </c>
      <c r="J70" s="16">
        <v>17.09</v>
      </c>
      <c r="K70" s="16">
        <v>34.18</v>
      </c>
    </row>
    <row r="71" spans="1:11" x14ac:dyDescent="0.2">
      <c r="A71" s="5" t="s">
        <v>19</v>
      </c>
      <c r="B71" s="5" t="s">
        <v>67</v>
      </c>
      <c r="C71" s="14">
        <v>0.125</v>
      </c>
      <c r="D71" s="14">
        <v>0.1235</v>
      </c>
      <c r="E71" s="5" t="s">
        <v>65</v>
      </c>
      <c r="F71" s="8">
        <f>B3*C71*D71</f>
        <v>1543.75</v>
      </c>
      <c r="G71" s="14">
        <v>0.17929380490060101</v>
      </c>
      <c r="H71" s="8">
        <f t="shared" si="3"/>
        <v>276.78481131530282</v>
      </c>
      <c r="I71" s="15">
        <v>1.44</v>
      </c>
      <c r="J71" s="16">
        <v>19.28</v>
      </c>
      <c r="K71" s="16">
        <v>38.56</v>
      </c>
    </row>
    <row r="72" spans="1:11" x14ac:dyDescent="0.2">
      <c r="A72" s="5" t="s">
        <v>19</v>
      </c>
      <c r="B72" s="5" t="s">
        <v>68</v>
      </c>
      <c r="C72" s="14">
        <v>0.125</v>
      </c>
      <c r="D72" s="14">
        <v>0.1176</v>
      </c>
      <c r="E72" s="5" t="s">
        <v>65</v>
      </c>
      <c r="F72" s="8">
        <f>B3*C72*D72</f>
        <v>1470</v>
      </c>
      <c r="G72" s="14">
        <v>8.1145476585578274E-2</v>
      </c>
      <c r="H72" s="8">
        <f t="shared" si="3"/>
        <v>119.28385058080006</v>
      </c>
      <c r="I72" s="15">
        <v>0.95</v>
      </c>
      <c r="J72" s="16">
        <v>20.25</v>
      </c>
      <c r="K72" s="16">
        <v>40.5</v>
      </c>
    </row>
    <row r="73" spans="1:11" x14ac:dyDescent="0.2">
      <c r="A73" s="5" t="s">
        <v>19</v>
      </c>
      <c r="B73" s="5" t="s">
        <v>69</v>
      </c>
      <c r="C73" s="14">
        <v>0.125</v>
      </c>
      <c r="D73" s="14">
        <v>0.10249999999999999</v>
      </c>
      <c r="E73" s="5" t="s">
        <v>65</v>
      </c>
      <c r="F73" s="8">
        <f>B3*C73*D73</f>
        <v>1281.25</v>
      </c>
      <c r="G73" s="14">
        <v>0.12592523808934869</v>
      </c>
      <c r="H73" s="8">
        <f t="shared" si="3"/>
        <v>161.34171130197802</v>
      </c>
      <c r="I73" s="15">
        <v>0.84</v>
      </c>
      <c r="J73" s="16">
        <v>23.23</v>
      </c>
      <c r="K73" s="16">
        <v>46.46</v>
      </c>
    </row>
    <row r="75" spans="1:11" x14ac:dyDescent="0.2">
      <c r="A75" s="5" t="s">
        <v>23</v>
      </c>
      <c r="B75" s="5" t="s">
        <v>70</v>
      </c>
      <c r="C75" s="14">
        <v>0.125</v>
      </c>
      <c r="D75" s="14">
        <v>1</v>
      </c>
      <c r="E75" s="5" t="s">
        <v>38</v>
      </c>
      <c r="F75" s="8">
        <f>B3*C75*D75</f>
        <v>12500</v>
      </c>
      <c r="G75" s="14">
        <v>0.2445482895588334</v>
      </c>
      <c r="H75" s="8">
        <f>F75*G75</f>
        <v>3056.8536194854173</v>
      </c>
      <c r="I75" s="15">
        <v>2.71</v>
      </c>
      <c r="J75" s="16">
        <v>410</v>
      </c>
      <c r="K75" s="16">
        <v>820</v>
      </c>
    </row>
    <row r="77" spans="1:11" x14ac:dyDescent="0.2">
      <c r="A77" s="10" t="s">
        <v>24</v>
      </c>
      <c r="B77" s="17"/>
      <c r="C77" s="17"/>
      <c r="D77" s="17"/>
      <c r="E77" s="17"/>
      <c r="F77" s="12">
        <f>SUMIF(A28:A75,"&lt;&gt;",F28:F75)</f>
        <v>99996.25</v>
      </c>
      <c r="G77" s="17"/>
      <c r="H77" s="12">
        <f>SUMIF(A28:A75,"&lt;&gt;",H28:H75)</f>
        <v>25042.342342896343</v>
      </c>
      <c r="I77" s="17"/>
      <c r="J77" s="17"/>
      <c r="K77" s="17" t="s">
        <v>86</v>
      </c>
    </row>
  </sheetData>
  <mergeCells count="4">
    <mergeCell ref="A13:F13"/>
    <mergeCell ref="A5:D5"/>
    <mergeCell ref="A26:K2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4"/>
  <sheetViews>
    <sheetView workbookViewId="0">
      <selection activeCell="A5" sqref="A5:D7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26" t="s">
        <v>71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6" x14ac:dyDescent="0.2">
      <c r="A3" s="18" t="s">
        <v>72</v>
      </c>
      <c r="B3" s="19">
        <f>'Portfolio Allocation'!B3</f>
        <v>100000</v>
      </c>
    </row>
    <row r="5" spans="1:10" ht="16" x14ac:dyDescent="0.2">
      <c r="A5" s="33" t="s">
        <v>3</v>
      </c>
      <c r="B5" s="28"/>
      <c r="C5" s="28"/>
      <c r="D5" s="28"/>
    </row>
    <row r="6" spans="1:10" x14ac:dyDescent="0.2">
      <c r="A6" s="34" t="s">
        <v>73</v>
      </c>
      <c r="B6" s="12">
        <f>E20</f>
        <v>22942.50502623622</v>
      </c>
      <c r="C6" s="5"/>
      <c r="D6" s="5"/>
    </row>
    <row r="7" spans="1:10" x14ac:dyDescent="0.2">
      <c r="A7" s="34" t="s">
        <v>74</v>
      </c>
      <c r="B7" s="11">
        <f>IF(B3&gt;0,B6/B3,0)</f>
        <v>0.22942505026236221</v>
      </c>
      <c r="C7" s="5"/>
      <c r="D7" s="5"/>
    </row>
    <row r="10" spans="1:10" ht="16" x14ac:dyDescent="0.2">
      <c r="A10" s="25" t="s">
        <v>75</v>
      </c>
      <c r="B10" s="23"/>
      <c r="C10" s="23"/>
      <c r="D10" s="23"/>
      <c r="E10" s="23"/>
      <c r="F10" s="23"/>
    </row>
    <row r="11" spans="1:10" x14ac:dyDescent="0.2">
      <c r="A11" s="20" t="s">
        <v>10</v>
      </c>
      <c r="B11" s="20" t="s">
        <v>11</v>
      </c>
      <c r="C11" s="20" t="s">
        <v>27</v>
      </c>
      <c r="D11" s="20" t="s">
        <v>13</v>
      </c>
      <c r="E11" s="20" t="s">
        <v>76</v>
      </c>
      <c r="F11" s="20" t="s">
        <v>15</v>
      </c>
    </row>
    <row r="12" spans="1:10" x14ac:dyDescent="0.2">
      <c r="A12" s="5" t="s">
        <v>16</v>
      </c>
      <c r="B12" s="6">
        <v>2</v>
      </c>
      <c r="C12" s="14">
        <v>0.125</v>
      </c>
      <c r="D12" s="8">
        <f>B3*C12</f>
        <v>12500</v>
      </c>
      <c r="E12" s="8">
        <f>SUMIF(A25:A72,A12,H25:H72)</f>
        <v>3782.7239807924598</v>
      </c>
      <c r="F12" s="9">
        <f t="shared" ref="F12:F20" si="0">IF(D12&gt;0,E12/D12,0)</f>
        <v>0.30261791846339681</v>
      </c>
    </row>
    <row r="13" spans="1:10" x14ac:dyDescent="0.2">
      <c r="A13" s="5" t="s">
        <v>17</v>
      </c>
      <c r="B13" s="6">
        <v>2</v>
      </c>
      <c r="C13" s="14">
        <v>0.125</v>
      </c>
      <c r="D13" s="8">
        <f>B3*C13</f>
        <v>12500</v>
      </c>
      <c r="E13" s="8">
        <f>SUMIF(A25:A72,A13,H25:H72)</f>
        <v>3889.2603231751982</v>
      </c>
      <c r="F13" s="9">
        <f t="shared" si="0"/>
        <v>0.31114082585401587</v>
      </c>
    </row>
    <row r="14" spans="1:10" x14ac:dyDescent="0.2">
      <c r="A14" s="5" t="s">
        <v>18</v>
      </c>
      <c r="B14" s="6">
        <v>8</v>
      </c>
      <c r="C14" s="14">
        <v>0.125</v>
      </c>
      <c r="D14" s="8">
        <f>B3*C14</f>
        <v>12500</v>
      </c>
      <c r="E14" s="8">
        <f>SUMIF(A25:A72,A14,H25:H72)</f>
        <v>3523.7345227013475</v>
      </c>
      <c r="F14" s="9">
        <f t="shared" si="0"/>
        <v>0.28189876181610779</v>
      </c>
    </row>
    <row r="15" spans="1:10" x14ac:dyDescent="0.2">
      <c r="A15" s="5" t="s">
        <v>19</v>
      </c>
      <c r="B15" s="6">
        <v>6</v>
      </c>
      <c r="C15" s="14">
        <v>0.125</v>
      </c>
      <c r="D15" s="8">
        <f>B3*C15</f>
        <v>12500</v>
      </c>
      <c r="E15" s="8">
        <f>SUMIF(A25:A72,A15,H25:H72)</f>
        <v>1943.2940612723125</v>
      </c>
      <c r="F15" s="9">
        <f t="shared" si="0"/>
        <v>0.155463524901785</v>
      </c>
    </row>
    <row r="16" spans="1:10" x14ac:dyDescent="0.2">
      <c r="A16" s="5" t="s">
        <v>20</v>
      </c>
      <c r="B16" s="6">
        <v>15</v>
      </c>
      <c r="C16" s="14">
        <v>0.125</v>
      </c>
      <c r="D16" s="8">
        <f>B3*C16</f>
        <v>12500</v>
      </c>
      <c r="E16" s="8">
        <f>SUMIF(A25:A72,A16,H25:H72)</f>
        <v>1092.1844937044834</v>
      </c>
      <c r="F16" s="9">
        <f t="shared" si="0"/>
        <v>8.7374759496358673E-2</v>
      </c>
    </row>
    <row r="17" spans="1:10" x14ac:dyDescent="0.2">
      <c r="A17" s="5" t="s">
        <v>21</v>
      </c>
      <c r="B17" s="6">
        <v>2</v>
      </c>
      <c r="C17" s="14">
        <v>0.125</v>
      </c>
      <c r="D17" s="8">
        <f>B3*C17</f>
        <v>12500</v>
      </c>
      <c r="E17" s="8">
        <f>SUMIF(A25:A72,A17,H25:H72)</f>
        <v>2784.1108124843886</v>
      </c>
      <c r="F17" s="9">
        <f t="shared" si="0"/>
        <v>0.22272886499875108</v>
      </c>
    </row>
    <row r="18" spans="1:10" x14ac:dyDescent="0.2">
      <c r="A18" s="5" t="s">
        <v>22</v>
      </c>
      <c r="B18" s="6">
        <v>5</v>
      </c>
      <c r="C18" s="14">
        <v>0.125</v>
      </c>
      <c r="D18" s="8">
        <f>B3*C18</f>
        <v>12500</v>
      </c>
      <c r="E18" s="8">
        <f>SUMIF(A25:A72,A18,H25:H72)</f>
        <v>2870.3432126206126</v>
      </c>
      <c r="F18" s="9">
        <f t="shared" si="0"/>
        <v>0.22962745700964901</v>
      </c>
    </row>
    <row r="19" spans="1:10" x14ac:dyDescent="0.2">
      <c r="A19" s="5" t="s">
        <v>23</v>
      </c>
      <c r="B19" s="6">
        <v>1</v>
      </c>
      <c r="C19" s="14">
        <v>0.125</v>
      </c>
      <c r="D19" s="8">
        <f>B3*C19</f>
        <v>12500</v>
      </c>
      <c r="E19" s="8">
        <f>SUMIF(A25:A72,A19,H25:H72)</f>
        <v>3056.8536194854173</v>
      </c>
      <c r="F19" s="9">
        <f t="shared" si="0"/>
        <v>0.2445482895588334</v>
      </c>
    </row>
    <row r="20" spans="1:10" x14ac:dyDescent="0.2">
      <c r="A20" s="10" t="s">
        <v>24</v>
      </c>
      <c r="B20" s="10">
        <f>SUM(B12:B19)</f>
        <v>41</v>
      </c>
      <c r="C20" s="11">
        <f>SUM(C12:C19)</f>
        <v>1</v>
      </c>
      <c r="D20" s="12">
        <f>SUM(D12:D19)</f>
        <v>100000</v>
      </c>
      <c r="E20" s="12">
        <f>SUM(E12:E19)</f>
        <v>22942.50502623622</v>
      </c>
      <c r="F20" s="11">
        <f t="shared" si="0"/>
        <v>0.22942505026236221</v>
      </c>
    </row>
    <row r="23" spans="1:10" ht="16" x14ac:dyDescent="0.2">
      <c r="A23" s="25" t="s">
        <v>77</v>
      </c>
      <c r="B23" s="23"/>
      <c r="C23" s="23"/>
      <c r="D23" s="23"/>
      <c r="E23" s="23"/>
      <c r="F23" s="23"/>
      <c r="G23" s="23"/>
      <c r="H23" s="23"/>
      <c r="I23" s="23"/>
      <c r="J23" s="23"/>
    </row>
    <row r="24" spans="1:10" x14ac:dyDescent="0.2">
      <c r="A24" s="21" t="s">
        <v>10</v>
      </c>
      <c r="B24" s="21" t="s">
        <v>26</v>
      </c>
      <c r="C24" s="21" t="s">
        <v>78</v>
      </c>
      <c r="D24" s="21" t="s">
        <v>79</v>
      </c>
      <c r="E24" s="21" t="s">
        <v>80</v>
      </c>
      <c r="F24" s="21" t="s">
        <v>13</v>
      </c>
      <c r="G24" s="21" t="s">
        <v>30</v>
      </c>
      <c r="H24" s="21" t="s">
        <v>14</v>
      </c>
      <c r="I24" s="21" t="s">
        <v>35</v>
      </c>
      <c r="J24" s="21" t="s">
        <v>81</v>
      </c>
    </row>
    <row r="25" spans="1:10" x14ac:dyDescent="0.2">
      <c r="A25" s="5" t="s">
        <v>16</v>
      </c>
      <c r="B25" s="5" t="s">
        <v>34</v>
      </c>
      <c r="C25" s="14">
        <v>0.125</v>
      </c>
      <c r="D25" s="14">
        <v>0.5</v>
      </c>
      <c r="E25" s="9">
        <f>C25*D25</f>
        <v>6.25E-2</v>
      </c>
      <c r="F25" s="8">
        <f>B3*E25</f>
        <v>6250</v>
      </c>
      <c r="G25" s="14">
        <v>0.2832023821672856</v>
      </c>
      <c r="H25" s="8">
        <f>F25*G25</f>
        <v>1770.0148885455351</v>
      </c>
      <c r="I25" s="15">
        <v>1.53</v>
      </c>
      <c r="J25" s="16">
        <v>752</v>
      </c>
    </row>
    <row r="26" spans="1:10" x14ac:dyDescent="0.2">
      <c r="A26" s="5" t="s">
        <v>16</v>
      </c>
      <c r="B26" s="5" t="s">
        <v>36</v>
      </c>
      <c r="C26" s="14">
        <v>0.125</v>
      </c>
      <c r="D26" s="14">
        <v>0.5</v>
      </c>
      <c r="E26" s="9">
        <f>C26*D26</f>
        <v>6.25E-2</v>
      </c>
      <c r="F26" s="8">
        <f>B3*E26</f>
        <v>6250</v>
      </c>
      <c r="G26" s="14">
        <v>0.3220334547595079</v>
      </c>
      <c r="H26" s="8">
        <f>F26*G26</f>
        <v>2012.7090922469245</v>
      </c>
      <c r="I26" s="15">
        <v>1.4</v>
      </c>
      <c r="J26" s="16">
        <v>580</v>
      </c>
    </row>
    <row r="28" spans="1:10" x14ac:dyDescent="0.2">
      <c r="A28" s="5" t="s">
        <v>21</v>
      </c>
      <c r="B28" s="5" t="s">
        <v>37</v>
      </c>
      <c r="C28" s="14">
        <v>0.125</v>
      </c>
      <c r="D28" s="14">
        <v>0.5</v>
      </c>
      <c r="E28" s="9">
        <f>C28*D28</f>
        <v>6.25E-2</v>
      </c>
      <c r="F28" s="8">
        <f>B3*E28</f>
        <v>6250</v>
      </c>
      <c r="G28" s="14">
        <v>0.1575684854596989</v>
      </c>
      <c r="H28" s="8">
        <f>F28*G28</f>
        <v>984.8030341231181</v>
      </c>
      <c r="I28" s="15">
        <v>5.77</v>
      </c>
      <c r="J28" s="16">
        <v>3319</v>
      </c>
    </row>
    <row r="29" spans="1:10" x14ac:dyDescent="0.2">
      <c r="A29" s="5" t="s">
        <v>21</v>
      </c>
      <c r="B29" s="5" t="s">
        <v>39</v>
      </c>
      <c r="C29" s="14">
        <v>0.125</v>
      </c>
      <c r="D29" s="14">
        <v>0.5</v>
      </c>
      <c r="E29" s="9">
        <f>C29*D29</f>
        <v>6.25E-2</v>
      </c>
      <c r="F29" s="8">
        <f>B3*E29</f>
        <v>6250</v>
      </c>
      <c r="G29" s="14">
        <v>0.28788924453780329</v>
      </c>
      <c r="H29" s="8">
        <f>F29*G29</f>
        <v>1799.3077783612705</v>
      </c>
      <c r="I29" s="15">
        <v>2</v>
      </c>
      <c r="J29" s="16">
        <v>6752</v>
      </c>
    </row>
    <row r="31" spans="1:10" x14ac:dyDescent="0.2">
      <c r="A31" s="5" t="s">
        <v>17</v>
      </c>
      <c r="B31" s="5" t="s">
        <v>40</v>
      </c>
      <c r="C31" s="14">
        <v>0.125</v>
      </c>
      <c r="D31" s="14">
        <v>0.5</v>
      </c>
      <c r="E31" s="9">
        <f>C31*D31</f>
        <v>6.25E-2</v>
      </c>
      <c r="F31" s="8">
        <f>B3*E31</f>
        <v>6250</v>
      </c>
      <c r="G31" s="14">
        <v>0.35841800574389149</v>
      </c>
      <c r="H31" s="8">
        <f>F31*G31</f>
        <v>2240.1125358993218</v>
      </c>
      <c r="I31" s="15">
        <v>1.26</v>
      </c>
      <c r="J31" s="16">
        <v>556</v>
      </c>
    </row>
    <row r="32" spans="1:10" x14ac:dyDescent="0.2">
      <c r="A32" s="5" t="s">
        <v>17</v>
      </c>
      <c r="B32" s="5" t="s">
        <v>41</v>
      </c>
      <c r="C32" s="14">
        <v>0.125</v>
      </c>
      <c r="D32" s="14">
        <v>0.5</v>
      </c>
      <c r="E32" s="9">
        <f>C32*D32</f>
        <v>6.25E-2</v>
      </c>
      <c r="F32" s="8">
        <f>B3*E32</f>
        <v>6250</v>
      </c>
      <c r="G32" s="14">
        <v>0.26386364596414019</v>
      </c>
      <c r="H32" s="8">
        <f>F32*G32</f>
        <v>1649.1477872758762</v>
      </c>
      <c r="I32" s="15">
        <v>0.85</v>
      </c>
      <c r="J32" s="16">
        <v>2860</v>
      </c>
    </row>
    <row r="34" spans="1:10" x14ac:dyDescent="0.2">
      <c r="A34" s="5" t="s">
        <v>18</v>
      </c>
      <c r="B34" s="5" t="s">
        <v>47</v>
      </c>
      <c r="C34" s="14">
        <v>0.125</v>
      </c>
      <c r="D34" s="14">
        <v>0.125</v>
      </c>
      <c r="E34" s="9">
        <f t="shared" ref="E34:E41" si="1">C34*D34</f>
        <v>1.5625E-2</v>
      </c>
      <c r="F34" s="8">
        <f>B3*E34</f>
        <v>1562.5</v>
      </c>
      <c r="G34" s="14">
        <v>0.1223303009975288</v>
      </c>
      <c r="H34" s="8">
        <f t="shared" ref="H34:H41" si="2">F34*G34</f>
        <v>191.14109530863874</v>
      </c>
      <c r="I34" s="15">
        <v>3.27</v>
      </c>
      <c r="J34" s="16">
        <v>289.60000000000002</v>
      </c>
    </row>
    <row r="35" spans="1:10" x14ac:dyDescent="0.2">
      <c r="A35" s="5" t="s">
        <v>18</v>
      </c>
      <c r="B35" s="5" t="s">
        <v>46</v>
      </c>
      <c r="C35" s="14">
        <v>0.125</v>
      </c>
      <c r="D35" s="14">
        <v>0.125</v>
      </c>
      <c r="E35" s="9">
        <f t="shared" si="1"/>
        <v>1.5625E-2</v>
      </c>
      <c r="F35" s="8">
        <f>B3*E35</f>
        <v>1562.5</v>
      </c>
      <c r="G35" s="14">
        <v>0.36557983602231447</v>
      </c>
      <c r="H35" s="8">
        <f t="shared" si="2"/>
        <v>571.21849378486638</v>
      </c>
      <c r="I35" s="15">
        <v>7.78</v>
      </c>
      <c r="J35" s="16">
        <v>459.6</v>
      </c>
    </row>
    <row r="36" spans="1:10" x14ac:dyDescent="0.2">
      <c r="A36" s="5" t="s">
        <v>18</v>
      </c>
      <c r="B36" s="5" t="s">
        <v>49</v>
      </c>
      <c r="C36" s="14">
        <v>0.125</v>
      </c>
      <c r="D36" s="14">
        <v>0.125</v>
      </c>
      <c r="E36" s="9">
        <f t="shared" si="1"/>
        <v>1.5625E-2</v>
      </c>
      <c r="F36" s="8">
        <f>B3*E36</f>
        <v>1562.5</v>
      </c>
      <c r="G36" s="14">
        <v>0.1701591411339754</v>
      </c>
      <c r="H36" s="8">
        <f t="shared" si="2"/>
        <v>265.87365802183655</v>
      </c>
      <c r="I36" s="15">
        <v>5.29</v>
      </c>
      <c r="J36" s="16">
        <v>778</v>
      </c>
    </row>
    <row r="37" spans="1:10" x14ac:dyDescent="0.2">
      <c r="A37" s="5" t="s">
        <v>18</v>
      </c>
      <c r="B37" s="5" t="s">
        <v>43</v>
      </c>
      <c r="C37" s="14">
        <v>0.125</v>
      </c>
      <c r="D37" s="14">
        <v>0.125</v>
      </c>
      <c r="E37" s="9">
        <f t="shared" si="1"/>
        <v>1.5625E-2</v>
      </c>
      <c r="F37" s="8">
        <f>B3*E37</f>
        <v>1562.5</v>
      </c>
      <c r="G37" s="14">
        <v>0.47127271300184448</v>
      </c>
      <c r="H37" s="8">
        <f t="shared" si="2"/>
        <v>736.36361406538197</v>
      </c>
      <c r="I37" s="15">
        <v>5.26</v>
      </c>
      <c r="J37" s="16">
        <v>116.2</v>
      </c>
    </row>
    <row r="38" spans="1:10" x14ac:dyDescent="0.2">
      <c r="A38" s="5" t="s">
        <v>18</v>
      </c>
      <c r="B38" s="5" t="s">
        <v>42</v>
      </c>
      <c r="C38" s="14">
        <v>0.125</v>
      </c>
      <c r="D38" s="14">
        <v>0.125</v>
      </c>
      <c r="E38" s="9">
        <f t="shared" si="1"/>
        <v>1.5625E-2</v>
      </c>
      <c r="F38" s="8">
        <f>B3*E38</f>
        <v>1562.5</v>
      </c>
      <c r="G38" s="14">
        <v>0.44153906110968588</v>
      </c>
      <c r="H38" s="8">
        <f t="shared" si="2"/>
        <v>689.90478298388416</v>
      </c>
      <c r="I38" s="15">
        <v>4.5199999999999996</v>
      </c>
      <c r="J38" s="16">
        <v>93.2</v>
      </c>
    </row>
    <row r="39" spans="1:10" x14ac:dyDescent="0.2">
      <c r="A39" s="5" t="s">
        <v>18</v>
      </c>
      <c r="B39" s="5" t="s">
        <v>44</v>
      </c>
      <c r="C39" s="14">
        <v>0.125</v>
      </c>
      <c r="D39" s="14">
        <v>0.125</v>
      </c>
      <c r="E39" s="9">
        <f t="shared" si="1"/>
        <v>1.5625E-2</v>
      </c>
      <c r="F39" s="8">
        <f>B3*E39</f>
        <v>1562.5</v>
      </c>
      <c r="G39" s="14">
        <v>0.27756887439903111</v>
      </c>
      <c r="H39" s="8">
        <f t="shared" si="2"/>
        <v>433.70136624848612</v>
      </c>
      <c r="I39" s="15">
        <v>3.56</v>
      </c>
      <c r="J39" s="16">
        <v>154.80000000000001</v>
      </c>
    </row>
    <row r="40" spans="1:10" x14ac:dyDescent="0.2">
      <c r="A40" s="5" t="s">
        <v>18</v>
      </c>
      <c r="B40" s="5" t="s">
        <v>48</v>
      </c>
      <c r="C40" s="14">
        <v>0.125</v>
      </c>
      <c r="D40" s="14">
        <v>0.125</v>
      </c>
      <c r="E40" s="9">
        <f t="shared" si="1"/>
        <v>1.5625E-2</v>
      </c>
      <c r="F40" s="8">
        <f>B3*E40</f>
        <v>1562.5</v>
      </c>
      <c r="G40" s="14">
        <v>0.14789904989094621</v>
      </c>
      <c r="H40" s="8">
        <f t="shared" si="2"/>
        <v>231.09226545460345</v>
      </c>
      <c r="I40" s="15">
        <v>2.8</v>
      </c>
      <c r="J40" s="16">
        <v>408.1</v>
      </c>
    </row>
    <row r="41" spans="1:10" x14ac:dyDescent="0.2">
      <c r="A41" s="5" t="s">
        <v>18</v>
      </c>
      <c r="B41" s="5" t="s">
        <v>45</v>
      </c>
      <c r="C41" s="14">
        <v>0.125</v>
      </c>
      <c r="D41" s="14">
        <v>0.125</v>
      </c>
      <c r="E41" s="9">
        <f t="shared" si="1"/>
        <v>1.5625E-2</v>
      </c>
      <c r="F41" s="8">
        <f>B3*E41</f>
        <v>1562.5</v>
      </c>
      <c r="G41" s="14">
        <v>0.25884111797353621</v>
      </c>
      <c r="H41" s="8">
        <f t="shared" si="2"/>
        <v>404.43924683365032</v>
      </c>
      <c r="I41" s="15">
        <v>7.21</v>
      </c>
      <c r="J41" s="16">
        <v>356.6</v>
      </c>
    </row>
    <row r="43" spans="1:10" x14ac:dyDescent="0.2">
      <c r="A43" s="5" t="s">
        <v>22</v>
      </c>
      <c r="B43" s="5" t="s">
        <v>50</v>
      </c>
      <c r="C43" s="14">
        <v>0.125</v>
      </c>
      <c r="D43" s="14">
        <v>0.2</v>
      </c>
      <c r="E43" s="9">
        <f>C43*D43</f>
        <v>2.5000000000000001E-2</v>
      </c>
      <c r="F43" s="8">
        <f>B3*E43</f>
        <v>2500</v>
      </c>
      <c r="G43" s="14">
        <v>0.20181423695599979</v>
      </c>
      <c r="H43" s="8">
        <f>F43*G43</f>
        <v>504.53559238999947</v>
      </c>
      <c r="I43" s="15">
        <v>1.31</v>
      </c>
      <c r="J43" s="16">
        <v>705</v>
      </c>
    </row>
    <row r="44" spans="1:10" x14ac:dyDescent="0.2">
      <c r="A44" s="5" t="s">
        <v>22</v>
      </c>
      <c r="B44" s="5" t="s">
        <v>52</v>
      </c>
      <c r="C44" s="14">
        <v>0.125</v>
      </c>
      <c r="D44" s="14">
        <v>0.2</v>
      </c>
      <c r="E44" s="9">
        <f>C44*D44</f>
        <v>2.5000000000000001E-2</v>
      </c>
      <c r="F44" s="8">
        <f>B3*E44</f>
        <v>2500</v>
      </c>
      <c r="G44" s="14">
        <v>0.22992520939506031</v>
      </c>
      <c r="H44" s="8">
        <f>F44*G44</f>
        <v>574.81302348765075</v>
      </c>
      <c r="I44" s="15">
        <v>0.84</v>
      </c>
      <c r="J44" s="16">
        <v>1779</v>
      </c>
    </row>
    <row r="45" spans="1:10" x14ac:dyDescent="0.2">
      <c r="A45" s="5" t="s">
        <v>22</v>
      </c>
      <c r="B45" s="5" t="s">
        <v>54</v>
      </c>
      <c r="C45" s="14">
        <v>0.125</v>
      </c>
      <c r="D45" s="14">
        <v>0.2</v>
      </c>
      <c r="E45" s="9">
        <f>C45*D45</f>
        <v>2.5000000000000001E-2</v>
      </c>
      <c r="F45" s="8">
        <f>B3*E45</f>
        <v>2500</v>
      </c>
      <c r="G45" s="14">
        <v>0.28158882734069929</v>
      </c>
      <c r="H45" s="8">
        <f>F45*G45</f>
        <v>703.97206835174825</v>
      </c>
      <c r="I45" s="15">
        <v>0.76</v>
      </c>
      <c r="J45" s="16">
        <v>3596</v>
      </c>
    </row>
    <row r="46" spans="1:10" x14ac:dyDescent="0.2">
      <c r="A46" s="5" t="s">
        <v>22</v>
      </c>
      <c r="B46" s="5" t="s">
        <v>55</v>
      </c>
      <c r="C46" s="14">
        <v>0.125</v>
      </c>
      <c r="D46" s="14">
        <v>0.2</v>
      </c>
      <c r="E46" s="9">
        <f>C46*D46</f>
        <v>2.5000000000000001E-2</v>
      </c>
      <c r="F46" s="8">
        <f>B3*E46</f>
        <v>2500</v>
      </c>
      <c r="G46" s="14">
        <v>0.13657447491611091</v>
      </c>
      <c r="H46" s="8">
        <f>F46*G46</f>
        <v>341.4361872902773</v>
      </c>
      <c r="I46" s="15">
        <v>0.56999999999999995</v>
      </c>
      <c r="J46" s="16">
        <v>2020</v>
      </c>
    </row>
    <row r="47" spans="1:10" x14ac:dyDescent="0.2">
      <c r="A47" s="5" t="s">
        <v>22</v>
      </c>
      <c r="B47" s="5" t="s">
        <v>53</v>
      </c>
      <c r="C47" s="14">
        <v>0.125</v>
      </c>
      <c r="D47" s="14">
        <v>0.2</v>
      </c>
      <c r="E47" s="9">
        <f>C47*D47</f>
        <v>2.5000000000000001E-2</v>
      </c>
      <c r="F47" s="8">
        <f>B3*E47</f>
        <v>2500</v>
      </c>
      <c r="G47" s="14">
        <v>0.29823453644037468</v>
      </c>
      <c r="H47" s="8">
        <f>F47*G47</f>
        <v>745.58634110093669</v>
      </c>
      <c r="I47" s="15">
        <v>0.85</v>
      </c>
      <c r="J47" s="16">
        <v>4579</v>
      </c>
    </row>
    <row r="49" spans="1:10" x14ac:dyDescent="0.2">
      <c r="A49" s="5" t="s">
        <v>20</v>
      </c>
      <c r="B49" s="5" t="s">
        <v>46</v>
      </c>
      <c r="C49" s="14">
        <v>0.125</v>
      </c>
      <c r="D49" s="14">
        <v>6.6666666666666666E-2</v>
      </c>
      <c r="E49" s="9">
        <f t="shared" ref="E49:E63" si="3">C49*D49</f>
        <v>8.3333333333333332E-3</v>
      </c>
      <c r="F49" s="8">
        <f>B3*E49</f>
        <v>833.33333333333337</v>
      </c>
      <c r="G49" s="14">
        <v>0.16363886831279811</v>
      </c>
      <c r="H49" s="8">
        <f t="shared" ref="H49:H63" si="4">F49*G49</f>
        <v>136.36572359399844</v>
      </c>
      <c r="I49" s="15">
        <v>4.26</v>
      </c>
      <c r="J49" s="16">
        <v>149.09</v>
      </c>
    </row>
    <row r="50" spans="1:10" x14ac:dyDescent="0.2">
      <c r="A50" s="5" t="s">
        <v>20</v>
      </c>
      <c r="B50" s="5" t="s">
        <v>59</v>
      </c>
      <c r="C50" s="14">
        <v>0.125</v>
      </c>
      <c r="D50" s="14">
        <v>6.6666666666666666E-2</v>
      </c>
      <c r="E50" s="9">
        <f t="shared" si="3"/>
        <v>8.3333333333333332E-3</v>
      </c>
      <c r="F50" s="8">
        <f>B3*E50</f>
        <v>833.33333333333337</v>
      </c>
      <c r="G50" s="14">
        <v>5.7237530744910788E-2</v>
      </c>
      <c r="H50" s="8">
        <f t="shared" si="4"/>
        <v>47.697942287425661</v>
      </c>
      <c r="I50" s="15">
        <v>1.53</v>
      </c>
      <c r="J50" s="16">
        <v>553.53</v>
      </c>
    </row>
    <row r="51" spans="1:10" x14ac:dyDescent="0.2">
      <c r="A51" s="5" t="s">
        <v>20</v>
      </c>
      <c r="B51" s="5" t="s">
        <v>49</v>
      </c>
      <c r="C51" s="14">
        <v>0.125</v>
      </c>
      <c r="D51" s="14">
        <v>6.6666666666666666E-2</v>
      </c>
      <c r="E51" s="9">
        <f t="shared" si="3"/>
        <v>8.3333333333333332E-3</v>
      </c>
      <c r="F51" s="8">
        <f>B3*E51</f>
        <v>833.33333333333337</v>
      </c>
      <c r="G51" s="14">
        <v>3.4808358551160698E-2</v>
      </c>
      <c r="H51" s="8">
        <f t="shared" si="4"/>
        <v>29.006965459300584</v>
      </c>
      <c r="I51" s="15">
        <v>1.01</v>
      </c>
      <c r="J51" s="16">
        <v>1262.53</v>
      </c>
    </row>
    <row r="52" spans="1:10" x14ac:dyDescent="0.2">
      <c r="A52" s="5" t="s">
        <v>20</v>
      </c>
      <c r="B52" s="5" t="s">
        <v>60</v>
      </c>
      <c r="C52" s="14">
        <v>0.125</v>
      </c>
      <c r="D52" s="14">
        <v>6.6666666666666666E-2</v>
      </c>
      <c r="E52" s="9">
        <f t="shared" si="3"/>
        <v>8.3333333333333332E-3</v>
      </c>
      <c r="F52" s="8">
        <f>B3*E52</f>
        <v>833.33333333333337</v>
      </c>
      <c r="G52" s="14">
        <v>4.7725084123234861E-2</v>
      </c>
      <c r="H52" s="8">
        <f t="shared" si="4"/>
        <v>39.770903436029052</v>
      </c>
      <c r="I52" s="15">
        <v>1.0900000000000001</v>
      </c>
      <c r="J52" s="16">
        <v>486.55</v>
      </c>
    </row>
    <row r="53" spans="1:10" x14ac:dyDescent="0.2">
      <c r="A53" s="5" t="s">
        <v>20</v>
      </c>
      <c r="B53" s="5" t="s">
        <v>43</v>
      </c>
      <c r="C53" s="14">
        <v>0.125</v>
      </c>
      <c r="D53" s="14">
        <v>6.6666666666666666E-2</v>
      </c>
      <c r="E53" s="9">
        <f t="shared" si="3"/>
        <v>8.3333333333333332E-3</v>
      </c>
      <c r="F53" s="8">
        <f>B3*E53</f>
        <v>833.33333333333337</v>
      </c>
      <c r="G53" s="14">
        <v>9.243382392575511E-2</v>
      </c>
      <c r="H53" s="8">
        <f t="shared" si="4"/>
        <v>77.028186604795934</v>
      </c>
      <c r="I53" s="15">
        <v>1.85</v>
      </c>
      <c r="J53" s="16">
        <v>267.04000000000002</v>
      </c>
    </row>
    <row r="54" spans="1:10" x14ac:dyDescent="0.2">
      <c r="A54" s="5" t="s">
        <v>20</v>
      </c>
      <c r="B54" s="5" t="s">
        <v>64</v>
      </c>
      <c r="C54" s="14">
        <v>0.125</v>
      </c>
      <c r="D54" s="14">
        <v>6.6666666666666666E-2</v>
      </c>
      <c r="E54" s="9">
        <f t="shared" si="3"/>
        <v>8.3333333333333332E-3</v>
      </c>
      <c r="F54" s="8">
        <f>B3*E54</f>
        <v>833.33333333333337</v>
      </c>
      <c r="G54" s="14">
        <v>3.3060293129844487E-2</v>
      </c>
      <c r="H54" s="8">
        <f t="shared" si="4"/>
        <v>27.550244274870408</v>
      </c>
      <c r="I54" s="15">
        <v>1.01</v>
      </c>
      <c r="J54" s="16">
        <v>727.1</v>
      </c>
    </row>
    <row r="55" spans="1:10" x14ac:dyDescent="0.2">
      <c r="A55" s="5" t="s">
        <v>20</v>
      </c>
      <c r="B55" s="5" t="s">
        <v>44</v>
      </c>
      <c r="C55" s="14">
        <v>0.125</v>
      </c>
      <c r="D55" s="14">
        <v>6.6666666666666666E-2</v>
      </c>
      <c r="E55" s="9">
        <f t="shared" si="3"/>
        <v>8.3333333333333332E-3</v>
      </c>
      <c r="F55" s="8">
        <f>B3*E55</f>
        <v>833.33333333333337</v>
      </c>
      <c r="G55" s="14">
        <v>0.2598882343822555</v>
      </c>
      <c r="H55" s="8">
        <f t="shared" si="4"/>
        <v>216.5735286518796</v>
      </c>
      <c r="I55" s="15">
        <v>3.13</v>
      </c>
      <c r="J55" s="16">
        <v>141.11000000000001</v>
      </c>
    </row>
    <row r="56" spans="1:10" x14ac:dyDescent="0.2">
      <c r="A56" s="5" t="s">
        <v>20</v>
      </c>
      <c r="B56" s="5" t="s">
        <v>56</v>
      </c>
      <c r="C56" s="14">
        <v>0.125</v>
      </c>
      <c r="D56" s="14">
        <v>6.6666666666666666E-2</v>
      </c>
      <c r="E56" s="9">
        <f t="shared" si="3"/>
        <v>8.3333333333333332E-3</v>
      </c>
      <c r="F56" s="8">
        <f>B3*E56</f>
        <v>833.33333333333337</v>
      </c>
      <c r="G56" s="14">
        <v>0.12886538550677101</v>
      </c>
      <c r="H56" s="8">
        <f t="shared" si="4"/>
        <v>107.38782125564252</v>
      </c>
      <c r="I56" s="15">
        <v>2.61</v>
      </c>
      <c r="J56" s="16">
        <v>323.61</v>
      </c>
    </row>
    <row r="57" spans="1:10" x14ac:dyDescent="0.2">
      <c r="A57" s="5" t="s">
        <v>20</v>
      </c>
      <c r="B57" s="5" t="s">
        <v>57</v>
      </c>
      <c r="C57" s="14">
        <v>0.125</v>
      </c>
      <c r="D57" s="14">
        <v>6.6666666666666666E-2</v>
      </c>
      <c r="E57" s="9">
        <f t="shared" si="3"/>
        <v>8.3333333333333332E-3</v>
      </c>
      <c r="F57" s="8">
        <f>B3*E57</f>
        <v>833.33333333333337</v>
      </c>
      <c r="G57" s="14">
        <v>0.10417987081779111</v>
      </c>
      <c r="H57" s="8">
        <f t="shared" si="4"/>
        <v>86.816559014825927</v>
      </c>
      <c r="I57" s="15">
        <v>2.1800000000000002</v>
      </c>
      <c r="J57" s="16">
        <v>317.39999999999998</v>
      </c>
    </row>
    <row r="58" spans="1:10" x14ac:dyDescent="0.2">
      <c r="A58" s="5" t="s">
        <v>20</v>
      </c>
      <c r="B58" s="5" t="s">
        <v>62</v>
      </c>
      <c r="C58" s="14">
        <v>0.125</v>
      </c>
      <c r="D58" s="14">
        <v>6.6666666666666666E-2</v>
      </c>
      <c r="E58" s="9">
        <f t="shared" si="3"/>
        <v>8.3333333333333332E-3</v>
      </c>
      <c r="F58" s="8">
        <f>B3*E58</f>
        <v>833.33333333333337</v>
      </c>
      <c r="G58" s="14">
        <v>7.5742052359749054E-2</v>
      </c>
      <c r="H58" s="8">
        <f t="shared" si="4"/>
        <v>63.118376966457546</v>
      </c>
      <c r="I58" s="15">
        <v>1.53</v>
      </c>
      <c r="J58" s="16">
        <v>763.98</v>
      </c>
    </row>
    <row r="59" spans="1:10" x14ac:dyDescent="0.2">
      <c r="A59" s="5" t="s">
        <v>20</v>
      </c>
      <c r="B59" s="5" t="s">
        <v>48</v>
      </c>
      <c r="C59" s="14">
        <v>0.125</v>
      </c>
      <c r="D59" s="14">
        <v>6.6666666666666666E-2</v>
      </c>
      <c r="E59" s="9">
        <f t="shared" si="3"/>
        <v>8.3333333333333332E-3</v>
      </c>
      <c r="F59" s="8">
        <f>B3*E59</f>
        <v>833.33333333333337</v>
      </c>
      <c r="G59" s="14">
        <v>5.6236613514713499E-2</v>
      </c>
      <c r="H59" s="8">
        <f t="shared" si="4"/>
        <v>46.863844595594585</v>
      </c>
      <c r="I59" s="15">
        <v>1.4</v>
      </c>
      <c r="J59" s="16">
        <v>735.54</v>
      </c>
    </row>
    <row r="60" spans="1:10" x14ac:dyDescent="0.2">
      <c r="A60" s="5" t="s">
        <v>20</v>
      </c>
      <c r="B60" s="5" t="s">
        <v>61</v>
      </c>
      <c r="C60" s="14">
        <v>0.125</v>
      </c>
      <c r="D60" s="14">
        <v>6.6666666666666666E-2</v>
      </c>
      <c r="E60" s="9">
        <f t="shared" si="3"/>
        <v>8.3333333333333332E-3</v>
      </c>
      <c r="F60" s="8">
        <f>B3*E60</f>
        <v>833.33333333333337</v>
      </c>
      <c r="G60" s="14">
        <v>3.5871851794559401E-2</v>
      </c>
      <c r="H60" s="8">
        <f t="shared" si="4"/>
        <v>29.893209828799503</v>
      </c>
      <c r="I60" s="15">
        <v>1.29</v>
      </c>
      <c r="J60" s="16">
        <v>592.92999999999995</v>
      </c>
    </row>
    <row r="61" spans="1:10" x14ac:dyDescent="0.2">
      <c r="A61" s="5" t="s">
        <v>20</v>
      </c>
      <c r="B61" s="5" t="s">
        <v>45</v>
      </c>
      <c r="C61" s="14">
        <v>0.125</v>
      </c>
      <c r="D61" s="14">
        <v>6.6666666666666666E-2</v>
      </c>
      <c r="E61" s="9">
        <f t="shared" si="3"/>
        <v>8.3333333333333332E-3</v>
      </c>
      <c r="F61" s="8">
        <f>B3*E61</f>
        <v>833.33333333333337</v>
      </c>
      <c r="G61" s="14">
        <v>0.1188260555884741</v>
      </c>
      <c r="H61" s="8">
        <f t="shared" si="4"/>
        <v>99.021712990395088</v>
      </c>
      <c r="I61" s="15">
        <v>2.17</v>
      </c>
      <c r="J61" s="16">
        <v>256.2</v>
      </c>
    </row>
    <row r="62" spans="1:10" x14ac:dyDescent="0.2">
      <c r="A62" s="5" t="s">
        <v>20</v>
      </c>
      <c r="B62" s="5" t="s">
        <v>58</v>
      </c>
      <c r="C62" s="14">
        <v>0.125</v>
      </c>
      <c r="D62" s="14">
        <v>6.6666666666666666E-2</v>
      </c>
      <c r="E62" s="9">
        <f t="shared" si="3"/>
        <v>8.3333333333333332E-3</v>
      </c>
      <c r="F62" s="8">
        <f>B3*E62</f>
        <v>833.33333333333337</v>
      </c>
      <c r="G62" s="14">
        <v>6.1130900343341697E-2</v>
      </c>
      <c r="H62" s="8">
        <f t="shared" si="4"/>
        <v>50.942416952784747</v>
      </c>
      <c r="I62" s="15">
        <v>1.46</v>
      </c>
      <c r="J62" s="16">
        <v>495.84</v>
      </c>
    </row>
    <row r="63" spans="1:10" x14ac:dyDescent="0.2">
      <c r="A63" s="5" t="s">
        <v>20</v>
      </c>
      <c r="B63" s="5" t="s">
        <v>63</v>
      </c>
      <c r="C63" s="14">
        <v>0.125</v>
      </c>
      <c r="D63" s="14">
        <v>6.6666666666666666E-2</v>
      </c>
      <c r="E63" s="9">
        <f t="shared" si="3"/>
        <v>8.3333333333333332E-3</v>
      </c>
      <c r="F63" s="8">
        <f>B3*E63</f>
        <v>833.33333333333337</v>
      </c>
      <c r="G63" s="14">
        <v>4.0976469350020722E-2</v>
      </c>
      <c r="H63" s="8">
        <f t="shared" si="4"/>
        <v>34.147057791683935</v>
      </c>
      <c r="I63" s="15">
        <v>0.97</v>
      </c>
      <c r="J63" s="16">
        <v>674.92</v>
      </c>
    </row>
    <row r="65" spans="1:10" x14ac:dyDescent="0.2">
      <c r="A65" s="5" t="s">
        <v>19</v>
      </c>
      <c r="B65" s="5" t="s">
        <v>67</v>
      </c>
      <c r="C65" s="14">
        <v>0.125</v>
      </c>
      <c r="D65" s="14">
        <v>0.16666666666666671</v>
      </c>
      <c r="E65" s="9">
        <f t="shared" ref="E65:E70" si="5">C65*D65</f>
        <v>2.0833333333333339E-2</v>
      </c>
      <c r="F65" s="8">
        <f>B3*E65</f>
        <v>2083.3333333333339</v>
      </c>
      <c r="G65" s="14">
        <v>0.17929380490060101</v>
      </c>
      <c r="H65" s="8">
        <f t="shared" ref="H65:H70" si="6">F65*G65</f>
        <v>373.52876020958553</v>
      </c>
      <c r="I65" s="15">
        <v>1.44</v>
      </c>
      <c r="J65" s="16">
        <v>19.28</v>
      </c>
    </row>
    <row r="66" spans="1:10" x14ac:dyDescent="0.2">
      <c r="A66" s="5" t="s">
        <v>19</v>
      </c>
      <c r="B66" s="5" t="s">
        <v>69</v>
      </c>
      <c r="C66" s="14">
        <v>0.125</v>
      </c>
      <c r="D66" s="14">
        <v>0.16666666666666671</v>
      </c>
      <c r="E66" s="9">
        <f t="shared" si="5"/>
        <v>2.0833333333333339E-2</v>
      </c>
      <c r="F66" s="8">
        <f>B3*E66</f>
        <v>2083.3333333333339</v>
      </c>
      <c r="G66" s="14">
        <v>0.12592523808934869</v>
      </c>
      <c r="H66" s="8">
        <f t="shared" si="6"/>
        <v>262.34424601947649</v>
      </c>
      <c r="I66" s="15">
        <v>0.84</v>
      </c>
      <c r="J66" s="16">
        <v>23.23</v>
      </c>
    </row>
    <row r="67" spans="1:10" x14ac:dyDescent="0.2">
      <c r="A67" s="5" t="s">
        <v>19</v>
      </c>
      <c r="B67" s="5" t="s">
        <v>52</v>
      </c>
      <c r="C67" s="14">
        <v>0.125</v>
      </c>
      <c r="D67" s="14">
        <v>0.16666666666666671</v>
      </c>
      <c r="E67" s="9">
        <f t="shared" si="5"/>
        <v>2.0833333333333339E-2</v>
      </c>
      <c r="F67" s="8">
        <f>B3*E67</f>
        <v>2083.3333333333339</v>
      </c>
      <c r="G67" s="14">
        <v>0.10434506088802779</v>
      </c>
      <c r="H67" s="8">
        <f t="shared" si="6"/>
        <v>217.38554351672462</v>
      </c>
      <c r="I67" s="15">
        <v>0.9</v>
      </c>
      <c r="J67" s="16">
        <v>17.09</v>
      </c>
    </row>
    <row r="68" spans="1:10" x14ac:dyDescent="0.2">
      <c r="A68" s="5" t="s">
        <v>19</v>
      </c>
      <c r="B68" s="5" t="s">
        <v>68</v>
      </c>
      <c r="C68" s="14">
        <v>0.125</v>
      </c>
      <c r="D68" s="14">
        <v>0.16666666666666671</v>
      </c>
      <c r="E68" s="9">
        <f t="shared" si="5"/>
        <v>2.0833333333333339E-2</v>
      </c>
      <c r="F68" s="8">
        <f>B3*E68</f>
        <v>2083.3333333333339</v>
      </c>
      <c r="G68" s="14">
        <v>8.1145476585578274E-2</v>
      </c>
      <c r="H68" s="8">
        <f t="shared" si="6"/>
        <v>169.05307621995479</v>
      </c>
      <c r="I68" s="15">
        <v>0.95</v>
      </c>
      <c r="J68" s="16">
        <v>20.25</v>
      </c>
    </row>
    <row r="69" spans="1:10" x14ac:dyDescent="0.2">
      <c r="A69" s="5" t="s">
        <v>19</v>
      </c>
      <c r="B69" s="5" t="s">
        <v>66</v>
      </c>
      <c r="C69" s="14">
        <v>0.125</v>
      </c>
      <c r="D69" s="14">
        <v>0.16666666666666671</v>
      </c>
      <c r="E69" s="9">
        <f t="shared" si="5"/>
        <v>2.0833333333333339E-2</v>
      </c>
      <c r="F69" s="8">
        <f>B3*E69</f>
        <v>2083.3333333333339</v>
      </c>
      <c r="G69" s="14">
        <v>0.1221737101234532</v>
      </c>
      <c r="H69" s="8">
        <f t="shared" si="6"/>
        <v>254.52856275719424</v>
      </c>
      <c r="I69" s="15">
        <v>0.85</v>
      </c>
      <c r="J69" s="16">
        <v>16.829999999999998</v>
      </c>
    </row>
    <row r="70" spans="1:10" x14ac:dyDescent="0.2">
      <c r="A70" s="5" t="s">
        <v>19</v>
      </c>
      <c r="B70" s="5" t="s">
        <v>53</v>
      </c>
      <c r="C70" s="14">
        <v>0.125</v>
      </c>
      <c r="D70" s="14">
        <v>0.16666666666666671</v>
      </c>
      <c r="E70" s="9">
        <f t="shared" si="5"/>
        <v>2.0833333333333339E-2</v>
      </c>
      <c r="F70" s="8">
        <f>B3*E70</f>
        <v>2083.3333333333339</v>
      </c>
      <c r="G70" s="14">
        <v>0.31989785882370081</v>
      </c>
      <c r="H70" s="8">
        <f t="shared" si="6"/>
        <v>666.45387254937691</v>
      </c>
      <c r="I70" s="15">
        <v>0.9</v>
      </c>
      <c r="J70" s="16">
        <v>6.34</v>
      </c>
    </row>
    <row r="72" spans="1:10" x14ac:dyDescent="0.2">
      <c r="A72" s="5" t="s">
        <v>23</v>
      </c>
      <c r="B72" s="5" t="s">
        <v>70</v>
      </c>
      <c r="C72" s="14">
        <v>0.125</v>
      </c>
      <c r="D72" s="14">
        <v>1</v>
      </c>
      <c r="E72" s="9">
        <f>C72*D72</f>
        <v>0.125</v>
      </c>
      <c r="F72" s="8">
        <f>B3*E72</f>
        <v>12500</v>
      </c>
      <c r="G72" s="14">
        <v>0.2445482895588334</v>
      </c>
      <c r="H72" s="8">
        <f>F72*G72</f>
        <v>3056.8536194854173</v>
      </c>
      <c r="I72" s="15">
        <v>2.71</v>
      </c>
      <c r="J72" s="16">
        <v>410</v>
      </c>
    </row>
    <row r="74" spans="1:10" x14ac:dyDescent="0.2">
      <c r="A74" s="10" t="s">
        <v>24</v>
      </c>
      <c r="B74" s="17"/>
      <c r="C74" s="17"/>
      <c r="D74" s="17"/>
      <c r="E74" s="11">
        <f>SUMIF(A25:A72,"&lt;&gt;",E25:E72)</f>
        <v>0.99999999999999989</v>
      </c>
      <c r="F74" s="12">
        <f>SUMIF(A25:A72,"&lt;&gt;",F25:F72)</f>
        <v>99999.999999999927</v>
      </c>
      <c r="G74" s="17"/>
      <c r="H74" s="12">
        <f>SUMIF(A25:A72,"&lt;&gt;",H25:H72)</f>
        <v>22942.505026236209</v>
      </c>
      <c r="I74" s="17"/>
      <c r="J74" s="17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4"/>
  <sheetViews>
    <sheetView workbookViewId="0">
      <selection activeCell="A5" sqref="A5:D7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26" t="s">
        <v>82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6" x14ac:dyDescent="0.2">
      <c r="A3" s="18" t="s">
        <v>72</v>
      </c>
      <c r="B3" s="19">
        <f>'Portfolio Allocation'!B3</f>
        <v>100000</v>
      </c>
    </row>
    <row r="5" spans="1:10" ht="16" x14ac:dyDescent="0.2">
      <c r="A5" s="33" t="s">
        <v>3</v>
      </c>
      <c r="B5" s="28"/>
      <c r="C5" s="28"/>
      <c r="D5" s="28"/>
    </row>
    <row r="6" spans="1:10" x14ac:dyDescent="0.2">
      <c r="A6" s="34" t="s">
        <v>73</v>
      </c>
      <c r="B6" s="12">
        <f>E20</f>
        <v>24629.897305464005</v>
      </c>
      <c r="C6" s="5"/>
      <c r="D6" s="5"/>
    </row>
    <row r="7" spans="1:10" x14ac:dyDescent="0.2">
      <c r="A7" s="34" t="s">
        <v>74</v>
      </c>
      <c r="B7" s="11">
        <f>IF(B3&gt;0,B6/B3,0)</f>
        <v>0.24629897305464005</v>
      </c>
      <c r="C7" s="5"/>
      <c r="D7" s="5"/>
    </row>
    <row r="10" spans="1:10" ht="16" x14ac:dyDescent="0.2">
      <c r="A10" s="25" t="s">
        <v>75</v>
      </c>
      <c r="B10" s="23"/>
      <c r="C10" s="23"/>
      <c r="D10" s="23"/>
      <c r="E10" s="23"/>
      <c r="F10" s="23"/>
    </row>
    <row r="11" spans="1:10" x14ac:dyDescent="0.2">
      <c r="A11" s="20" t="s">
        <v>10</v>
      </c>
      <c r="B11" s="20" t="s">
        <v>11</v>
      </c>
      <c r="C11" s="20" t="s">
        <v>27</v>
      </c>
      <c r="D11" s="20" t="s">
        <v>13</v>
      </c>
      <c r="E11" s="20" t="s">
        <v>76</v>
      </c>
      <c r="F11" s="20" t="s">
        <v>15</v>
      </c>
    </row>
    <row r="12" spans="1:10" x14ac:dyDescent="0.2">
      <c r="A12" s="5" t="s">
        <v>16</v>
      </c>
      <c r="B12" s="6">
        <v>2</v>
      </c>
      <c r="C12" s="14">
        <v>0.125</v>
      </c>
      <c r="D12" s="8">
        <f>B3*C12</f>
        <v>12500</v>
      </c>
      <c r="E12" s="8">
        <f>SUMIF(A25:A72,A12,H25:H72)</f>
        <v>3814.0800719106787</v>
      </c>
      <c r="F12" s="9">
        <f t="shared" ref="F12:F20" si="0">IF(D12&gt;0,E12/D12,0)</f>
        <v>0.30512640575285432</v>
      </c>
    </row>
    <row r="13" spans="1:10" x14ac:dyDescent="0.2">
      <c r="A13" s="5" t="s">
        <v>17</v>
      </c>
      <c r="B13" s="6">
        <v>2</v>
      </c>
      <c r="C13" s="14">
        <v>0.125</v>
      </c>
      <c r="D13" s="8">
        <f>B3*C13</f>
        <v>12500</v>
      </c>
      <c r="E13" s="8">
        <f>SUMIF(A25:A72,A13,H25:H72)</f>
        <v>4287.8069496468497</v>
      </c>
      <c r="F13" s="9">
        <f t="shared" si="0"/>
        <v>0.34302455597174797</v>
      </c>
    </row>
    <row r="14" spans="1:10" x14ac:dyDescent="0.2">
      <c r="A14" s="5" t="s">
        <v>18</v>
      </c>
      <c r="B14" s="6">
        <v>8</v>
      </c>
      <c r="C14" s="14">
        <v>0.125</v>
      </c>
      <c r="D14" s="8">
        <f>B3*C14</f>
        <v>12500</v>
      </c>
      <c r="E14" s="8">
        <f>SUMIF(A25:A72,A14,H25:H72)</f>
        <v>4317.1838668167038</v>
      </c>
      <c r="F14" s="9">
        <f t="shared" si="0"/>
        <v>0.34537470934533632</v>
      </c>
    </row>
    <row r="15" spans="1:10" x14ac:dyDescent="0.2">
      <c r="A15" s="5" t="s">
        <v>19</v>
      </c>
      <c r="B15" s="6">
        <v>6</v>
      </c>
      <c r="C15" s="14">
        <v>0.125</v>
      </c>
      <c r="D15" s="8">
        <f>B3*C15</f>
        <v>12500</v>
      </c>
      <c r="E15" s="8">
        <f>SUMIF(A25:A72,A15,H25:H72)</f>
        <v>2457.116407427492</v>
      </c>
      <c r="F15" s="9">
        <f t="shared" si="0"/>
        <v>0.19656931259419935</v>
      </c>
    </row>
    <row r="16" spans="1:10" x14ac:dyDescent="0.2">
      <c r="A16" s="5" t="s">
        <v>20</v>
      </c>
      <c r="B16" s="6">
        <v>15</v>
      </c>
      <c r="C16" s="14">
        <v>0.125</v>
      </c>
      <c r="D16" s="8">
        <f>B3*C16</f>
        <v>12500</v>
      </c>
      <c r="E16" s="8">
        <f>SUMIF(A25:A72,A16,H25:H72)</f>
        <v>1554.8906372265205</v>
      </c>
      <c r="F16" s="9">
        <f t="shared" si="0"/>
        <v>0.12439125097812165</v>
      </c>
    </row>
    <row r="17" spans="1:10" x14ac:dyDescent="0.2">
      <c r="A17" s="5" t="s">
        <v>21</v>
      </c>
      <c r="B17" s="6">
        <v>2</v>
      </c>
      <c r="C17" s="14">
        <v>0.125</v>
      </c>
      <c r="D17" s="8">
        <f>B3*C17</f>
        <v>12500</v>
      </c>
      <c r="E17" s="8">
        <f>SUMIF(A25:A72,A17,H25:H72)</f>
        <v>2506.5275956480264</v>
      </c>
      <c r="F17" s="9">
        <f t="shared" si="0"/>
        <v>0.20052220765184212</v>
      </c>
    </row>
    <row r="18" spans="1:10" x14ac:dyDescent="0.2">
      <c r="A18" s="5" t="s">
        <v>22</v>
      </c>
      <c r="B18" s="6">
        <v>5</v>
      </c>
      <c r="C18" s="14">
        <v>0.125</v>
      </c>
      <c r="D18" s="8">
        <f>B3*C18</f>
        <v>12500</v>
      </c>
      <c r="E18" s="8">
        <f>SUMIF(A25:A72,A18,H25:H72)</f>
        <v>2635.4381573023211</v>
      </c>
      <c r="F18" s="9">
        <f t="shared" si="0"/>
        <v>0.21083505258418569</v>
      </c>
    </row>
    <row r="19" spans="1:10" x14ac:dyDescent="0.2">
      <c r="A19" s="5" t="s">
        <v>23</v>
      </c>
      <c r="B19" s="6">
        <v>1</v>
      </c>
      <c r="C19" s="14">
        <v>0.125</v>
      </c>
      <c r="D19" s="8">
        <f>B3*C19</f>
        <v>12500</v>
      </c>
      <c r="E19" s="8">
        <f>SUMIF(A25:A72,A19,H25:H72)</f>
        <v>3056.8536194854173</v>
      </c>
      <c r="F19" s="9">
        <f t="shared" si="0"/>
        <v>0.2445482895588334</v>
      </c>
    </row>
    <row r="20" spans="1:10" x14ac:dyDescent="0.2">
      <c r="A20" s="10" t="s">
        <v>24</v>
      </c>
      <c r="B20" s="10">
        <f>SUM(B12:B19)</f>
        <v>41</v>
      </c>
      <c r="C20" s="11">
        <f>SUM(C12:C19)</f>
        <v>1</v>
      </c>
      <c r="D20" s="12">
        <f>SUM(D12:D19)</f>
        <v>100000</v>
      </c>
      <c r="E20" s="12">
        <f>SUM(E12:E19)</f>
        <v>24629.897305464005</v>
      </c>
      <c r="F20" s="11">
        <f t="shared" si="0"/>
        <v>0.24629897305464005</v>
      </c>
    </row>
    <row r="23" spans="1:10" ht="16" x14ac:dyDescent="0.2">
      <c r="A23" s="25" t="s">
        <v>77</v>
      </c>
      <c r="B23" s="23"/>
      <c r="C23" s="23"/>
      <c r="D23" s="23"/>
      <c r="E23" s="23"/>
      <c r="F23" s="23"/>
      <c r="G23" s="23"/>
      <c r="H23" s="23"/>
      <c r="I23" s="23"/>
      <c r="J23" s="23"/>
    </row>
    <row r="24" spans="1:10" x14ac:dyDescent="0.2">
      <c r="A24" s="21" t="s">
        <v>10</v>
      </c>
      <c r="B24" s="21" t="s">
        <v>26</v>
      </c>
      <c r="C24" s="21" t="s">
        <v>78</v>
      </c>
      <c r="D24" s="21" t="s">
        <v>79</v>
      </c>
      <c r="E24" s="21" t="s">
        <v>80</v>
      </c>
      <c r="F24" s="21" t="s">
        <v>13</v>
      </c>
      <c r="G24" s="21" t="s">
        <v>30</v>
      </c>
      <c r="H24" s="21" t="s">
        <v>14</v>
      </c>
      <c r="I24" s="21" t="s">
        <v>35</v>
      </c>
      <c r="J24" s="21" t="s">
        <v>81</v>
      </c>
    </row>
    <row r="25" spans="1:10" x14ac:dyDescent="0.2">
      <c r="A25" s="5" t="s">
        <v>16</v>
      </c>
      <c r="B25" s="5" t="s">
        <v>34</v>
      </c>
      <c r="C25" s="14">
        <v>0.125</v>
      </c>
      <c r="D25" s="14">
        <v>0.43540000000000001</v>
      </c>
      <c r="E25" s="9">
        <f>C25*D25</f>
        <v>5.4425000000000001E-2</v>
      </c>
      <c r="F25" s="8">
        <f>B3*E25</f>
        <v>5442.5</v>
      </c>
      <c r="G25" s="14">
        <v>0.2832023821672856</v>
      </c>
      <c r="H25" s="8">
        <f>F25*G25</f>
        <v>1541.3289649454518</v>
      </c>
      <c r="I25" s="15">
        <v>1.53</v>
      </c>
      <c r="J25" s="16">
        <v>752</v>
      </c>
    </row>
    <row r="26" spans="1:10" x14ac:dyDescent="0.2">
      <c r="A26" s="5" t="s">
        <v>16</v>
      </c>
      <c r="B26" s="5" t="s">
        <v>36</v>
      </c>
      <c r="C26" s="14">
        <v>0.125</v>
      </c>
      <c r="D26" s="14">
        <v>0.56459999999999999</v>
      </c>
      <c r="E26" s="9">
        <f>C26*D26</f>
        <v>7.0574999999999999E-2</v>
      </c>
      <c r="F26" s="8">
        <f>B3*E26</f>
        <v>7057.5</v>
      </c>
      <c r="G26" s="14">
        <v>0.3220334547595079</v>
      </c>
      <c r="H26" s="8">
        <f>F26*G26</f>
        <v>2272.7511069652269</v>
      </c>
      <c r="I26" s="15">
        <v>1.4</v>
      </c>
      <c r="J26" s="16">
        <v>580</v>
      </c>
    </row>
    <row r="28" spans="1:10" x14ac:dyDescent="0.2">
      <c r="A28" s="5" t="s">
        <v>21</v>
      </c>
      <c r="B28" s="5" t="s">
        <v>37</v>
      </c>
      <c r="C28" s="14">
        <v>0.125</v>
      </c>
      <c r="D28" s="14">
        <v>0.67040000000000011</v>
      </c>
      <c r="E28" s="9">
        <f>C28*D28</f>
        <v>8.3800000000000013E-2</v>
      </c>
      <c r="F28" s="8">
        <f>B3*E28</f>
        <v>8380.0000000000018</v>
      </c>
      <c r="G28" s="14">
        <v>0.1575684854596989</v>
      </c>
      <c r="H28" s="8">
        <f>F28*G28</f>
        <v>1320.4239081522771</v>
      </c>
      <c r="I28" s="15">
        <v>5.77</v>
      </c>
      <c r="J28" s="16">
        <v>3319</v>
      </c>
    </row>
    <row r="29" spans="1:10" x14ac:dyDescent="0.2">
      <c r="A29" s="5" t="s">
        <v>21</v>
      </c>
      <c r="B29" s="5" t="s">
        <v>39</v>
      </c>
      <c r="C29" s="14">
        <v>0.125</v>
      </c>
      <c r="D29" s="14">
        <v>0.3296</v>
      </c>
      <c r="E29" s="9">
        <f>C29*D29</f>
        <v>4.1200000000000001E-2</v>
      </c>
      <c r="F29" s="8">
        <f>B3*E29</f>
        <v>4120</v>
      </c>
      <c r="G29" s="14">
        <v>0.28788924453780329</v>
      </c>
      <c r="H29" s="8">
        <f>F29*G29</f>
        <v>1186.1036874957495</v>
      </c>
      <c r="I29" s="15">
        <v>2</v>
      </c>
      <c r="J29" s="16">
        <v>6752</v>
      </c>
    </row>
    <row r="31" spans="1:10" x14ac:dyDescent="0.2">
      <c r="A31" s="5" t="s">
        <v>17</v>
      </c>
      <c r="B31" s="5" t="s">
        <v>40</v>
      </c>
      <c r="C31" s="14">
        <v>0.125</v>
      </c>
      <c r="D31" s="14">
        <v>0.83719999999999994</v>
      </c>
      <c r="E31" s="9">
        <f>C31*D31</f>
        <v>0.10464999999999999</v>
      </c>
      <c r="F31" s="8">
        <f>B3*E31</f>
        <v>10465</v>
      </c>
      <c r="G31" s="14">
        <v>0.35841800574389149</v>
      </c>
      <c r="H31" s="8">
        <f>F31*G31</f>
        <v>3750.8444301098243</v>
      </c>
      <c r="I31" s="15">
        <v>1.26</v>
      </c>
      <c r="J31" s="16">
        <v>556</v>
      </c>
    </row>
    <row r="32" spans="1:10" x14ac:dyDescent="0.2">
      <c r="A32" s="5" t="s">
        <v>17</v>
      </c>
      <c r="B32" s="5" t="s">
        <v>41</v>
      </c>
      <c r="C32" s="14">
        <v>0.125</v>
      </c>
      <c r="D32" s="14">
        <v>0.1628</v>
      </c>
      <c r="E32" s="9">
        <f>C32*D32</f>
        <v>2.035E-2</v>
      </c>
      <c r="F32" s="8">
        <f>B3*E32</f>
        <v>2035</v>
      </c>
      <c r="G32" s="14">
        <v>0.26386364596414019</v>
      </c>
      <c r="H32" s="8">
        <f>F32*G32</f>
        <v>536.96251953702529</v>
      </c>
      <c r="I32" s="15">
        <v>0.85</v>
      </c>
      <c r="J32" s="16">
        <v>2860</v>
      </c>
    </row>
    <row r="34" spans="1:10" x14ac:dyDescent="0.2">
      <c r="A34" s="5" t="s">
        <v>18</v>
      </c>
      <c r="B34" s="5" t="s">
        <v>47</v>
      </c>
      <c r="C34" s="14">
        <v>0.125</v>
      </c>
      <c r="D34" s="14">
        <v>9.0999999999999998E-2</v>
      </c>
      <c r="E34" s="9">
        <f t="shared" ref="E34:E41" si="1">C34*D34</f>
        <v>1.1375E-2</v>
      </c>
      <c r="F34" s="8">
        <f>B3*E34</f>
        <v>1137.5</v>
      </c>
      <c r="G34" s="14">
        <v>0.1223303009975288</v>
      </c>
      <c r="H34" s="8">
        <f t="shared" ref="H34:H41" si="2">F34*G34</f>
        <v>139.15071738468902</v>
      </c>
      <c r="I34" s="15">
        <v>3.27</v>
      </c>
      <c r="J34" s="16">
        <v>289.60000000000002</v>
      </c>
    </row>
    <row r="35" spans="1:10" x14ac:dyDescent="0.2">
      <c r="A35" s="5" t="s">
        <v>18</v>
      </c>
      <c r="B35" s="5" t="s">
        <v>46</v>
      </c>
      <c r="C35" s="14">
        <v>0.125</v>
      </c>
      <c r="D35" s="14">
        <v>5.7299999999999997E-2</v>
      </c>
      <c r="E35" s="9">
        <f t="shared" si="1"/>
        <v>7.1624999999999996E-3</v>
      </c>
      <c r="F35" s="8">
        <f>B3*E35</f>
        <v>716.25</v>
      </c>
      <c r="G35" s="14">
        <v>0.36557983602231447</v>
      </c>
      <c r="H35" s="8">
        <f t="shared" si="2"/>
        <v>261.84655755098277</v>
      </c>
      <c r="I35" s="15">
        <v>7.78</v>
      </c>
      <c r="J35" s="16">
        <v>459.6</v>
      </c>
    </row>
    <row r="36" spans="1:10" x14ac:dyDescent="0.2">
      <c r="A36" s="5" t="s">
        <v>18</v>
      </c>
      <c r="B36" s="5" t="s">
        <v>49</v>
      </c>
      <c r="C36" s="14">
        <v>0.125</v>
      </c>
      <c r="D36" s="14">
        <v>3.39E-2</v>
      </c>
      <c r="E36" s="9">
        <f t="shared" si="1"/>
        <v>4.2374999999999999E-3</v>
      </c>
      <c r="F36" s="8">
        <f>B3*E36</f>
        <v>423.75</v>
      </c>
      <c r="G36" s="14">
        <v>0.1701591411339754</v>
      </c>
      <c r="H36" s="8">
        <f t="shared" si="2"/>
        <v>72.104936055522074</v>
      </c>
      <c r="I36" s="15">
        <v>5.29</v>
      </c>
      <c r="J36" s="16">
        <v>778</v>
      </c>
    </row>
    <row r="37" spans="1:10" x14ac:dyDescent="0.2">
      <c r="A37" s="5" t="s">
        <v>18</v>
      </c>
      <c r="B37" s="5" t="s">
        <v>43</v>
      </c>
      <c r="C37" s="14">
        <v>0.125</v>
      </c>
      <c r="D37" s="14">
        <v>0.22670000000000001</v>
      </c>
      <c r="E37" s="9">
        <f t="shared" si="1"/>
        <v>2.8337500000000002E-2</v>
      </c>
      <c r="F37" s="8">
        <f>B3*E37</f>
        <v>2833.75</v>
      </c>
      <c r="G37" s="14">
        <v>0.47127271300184448</v>
      </c>
      <c r="H37" s="8">
        <f t="shared" si="2"/>
        <v>1335.4690504689768</v>
      </c>
      <c r="I37" s="15">
        <v>5.26</v>
      </c>
      <c r="J37" s="16">
        <v>116.2</v>
      </c>
    </row>
    <row r="38" spans="1:10" x14ac:dyDescent="0.2">
      <c r="A38" s="5" t="s">
        <v>18</v>
      </c>
      <c r="B38" s="5" t="s">
        <v>42</v>
      </c>
      <c r="C38" s="14">
        <v>0.125</v>
      </c>
      <c r="D38" s="14">
        <v>0.28260000000000002</v>
      </c>
      <c r="E38" s="9">
        <f t="shared" si="1"/>
        <v>3.5325000000000002E-2</v>
      </c>
      <c r="F38" s="8">
        <f>B3*E38</f>
        <v>3532.5</v>
      </c>
      <c r="G38" s="14">
        <v>0.44153906110968588</v>
      </c>
      <c r="H38" s="8">
        <f t="shared" si="2"/>
        <v>1559.7367333699653</v>
      </c>
      <c r="I38" s="15">
        <v>4.5199999999999996</v>
      </c>
      <c r="J38" s="16">
        <v>93.2</v>
      </c>
    </row>
    <row r="39" spans="1:10" x14ac:dyDescent="0.2">
      <c r="A39" s="5" t="s">
        <v>18</v>
      </c>
      <c r="B39" s="5" t="s">
        <v>44</v>
      </c>
      <c r="C39" s="14">
        <v>0.125</v>
      </c>
      <c r="D39" s="14">
        <v>0.17019999999999999</v>
      </c>
      <c r="E39" s="9">
        <f t="shared" si="1"/>
        <v>2.1274999999999999E-2</v>
      </c>
      <c r="F39" s="8">
        <f>B3*E39</f>
        <v>2127.5</v>
      </c>
      <c r="G39" s="14">
        <v>0.27756887439903111</v>
      </c>
      <c r="H39" s="8">
        <f t="shared" si="2"/>
        <v>590.52778028393868</v>
      </c>
      <c r="I39" s="15">
        <v>3.56</v>
      </c>
      <c r="J39" s="16">
        <v>154.80000000000001</v>
      </c>
    </row>
    <row r="40" spans="1:10" x14ac:dyDescent="0.2">
      <c r="A40" s="5" t="s">
        <v>18</v>
      </c>
      <c r="B40" s="5" t="s">
        <v>48</v>
      </c>
      <c r="C40" s="14">
        <v>0.125</v>
      </c>
      <c r="D40" s="14">
        <v>6.4500000000000002E-2</v>
      </c>
      <c r="E40" s="9">
        <f t="shared" si="1"/>
        <v>8.0625000000000002E-3</v>
      </c>
      <c r="F40" s="8">
        <f>B3*E40</f>
        <v>806.25</v>
      </c>
      <c r="G40" s="14">
        <v>0.14789904989094621</v>
      </c>
      <c r="H40" s="8">
        <f t="shared" si="2"/>
        <v>119.24360897457538</v>
      </c>
      <c r="I40" s="15">
        <v>2.8</v>
      </c>
      <c r="J40" s="16">
        <v>408.1</v>
      </c>
    </row>
    <row r="41" spans="1:10" x14ac:dyDescent="0.2">
      <c r="A41" s="5" t="s">
        <v>18</v>
      </c>
      <c r="B41" s="5" t="s">
        <v>45</v>
      </c>
      <c r="C41" s="14">
        <v>0.125</v>
      </c>
      <c r="D41" s="14">
        <v>7.3899999999999993E-2</v>
      </c>
      <c r="E41" s="9">
        <f t="shared" si="1"/>
        <v>9.2374999999999992E-3</v>
      </c>
      <c r="F41" s="8">
        <f>B3*E41</f>
        <v>923.74999999999989</v>
      </c>
      <c r="G41" s="14">
        <v>0.25884111797353621</v>
      </c>
      <c r="H41" s="8">
        <f t="shared" si="2"/>
        <v>239.10448272805405</v>
      </c>
      <c r="I41" s="15">
        <v>7.21</v>
      </c>
      <c r="J41" s="16">
        <v>356.6</v>
      </c>
    </row>
    <row r="43" spans="1:10" x14ac:dyDescent="0.2">
      <c r="A43" s="5" t="s">
        <v>22</v>
      </c>
      <c r="B43" s="5" t="s">
        <v>50</v>
      </c>
      <c r="C43" s="14">
        <v>0.125</v>
      </c>
      <c r="D43" s="14">
        <v>0.47729999999999989</v>
      </c>
      <c r="E43" s="9">
        <f>C43*D43</f>
        <v>5.9662499999999986E-2</v>
      </c>
      <c r="F43" s="8">
        <f>B3*E43</f>
        <v>5966.2499999999991</v>
      </c>
      <c r="G43" s="14">
        <v>0.20181423695599979</v>
      </c>
      <c r="H43" s="8">
        <f>F43*G43</f>
        <v>1204.0741912387336</v>
      </c>
      <c r="I43" s="15">
        <v>1.31</v>
      </c>
      <c r="J43" s="16">
        <v>705</v>
      </c>
    </row>
    <row r="44" spans="1:10" x14ac:dyDescent="0.2">
      <c r="A44" s="5" t="s">
        <v>22</v>
      </c>
      <c r="B44" s="5" t="s">
        <v>52</v>
      </c>
      <c r="C44" s="14">
        <v>0.125</v>
      </c>
      <c r="D44" s="14">
        <v>0.18909999999999999</v>
      </c>
      <c r="E44" s="9">
        <f>C44*D44</f>
        <v>2.3637499999999999E-2</v>
      </c>
      <c r="F44" s="8">
        <f>B3*E44</f>
        <v>2363.75</v>
      </c>
      <c r="G44" s="14">
        <v>0.22992520939506031</v>
      </c>
      <c r="H44" s="8">
        <f>F44*G44</f>
        <v>543.48571370757384</v>
      </c>
      <c r="I44" s="15">
        <v>0.84</v>
      </c>
      <c r="J44" s="16">
        <v>1779</v>
      </c>
    </row>
    <row r="45" spans="1:10" x14ac:dyDescent="0.2">
      <c r="A45" s="5" t="s">
        <v>22</v>
      </c>
      <c r="B45" s="5" t="s">
        <v>54</v>
      </c>
      <c r="C45" s="14">
        <v>0.125</v>
      </c>
      <c r="D45" s="14">
        <v>9.3599999999999989E-2</v>
      </c>
      <c r="E45" s="9">
        <f>C45*D45</f>
        <v>1.1699999999999999E-2</v>
      </c>
      <c r="F45" s="8">
        <f>B3*E45</f>
        <v>1169.9999999999998</v>
      </c>
      <c r="G45" s="14">
        <v>0.28158882734069929</v>
      </c>
      <c r="H45" s="8">
        <f>F45*G45</f>
        <v>329.45892798861809</v>
      </c>
      <c r="I45" s="15">
        <v>0.76</v>
      </c>
      <c r="J45" s="16">
        <v>3596</v>
      </c>
    </row>
    <row r="46" spans="1:10" x14ac:dyDescent="0.2">
      <c r="A46" s="5" t="s">
        <v>22</v>
      </c>
      <c r="B46" s="5" t="s">
        <v>55</v>
      </c>
      <c r="C46" s="14">
        <v>0.125</v>
      </c>
      <c r="D46" s="14">
        <v>0.1666</v>
      </c>
      <c r="E46" s="9">
        <f>C46*D46</f>
        <v>2.0825E-2</v>
      </c>
      <c r="F46" s="8">
        <f>B3*E46</f>
        <v>2082.5</v>
      </c>
      <c r="G46" s="14">
        <v>0.13657447491611091</v>
      </c>
      <c r="H46" s="8">
        <f>F46*G46</f>
        <v>284.41634401280095</v>
      </c>
      <c r="I46" s="15">
        <v>0.56999999999999995</v>
      </c>
      <c r="J46" s="16">
        <v>2020</v>
      </c>
    </row>
    <row r="47" spans="1:10" x14ac:dyDescent="0.2">
      <c r="A47" s="5" t="s">
        <v>22</v>
      </c>
      <c r="B47" s="5" t="s">
        <v>53</v>
      </c>
      <c r="C47" s="14">
        <v>0.125</v>
      </c>
      <c r="D47" s="14">
        <v>7.3499999999999996E-2</v>
      </c>
      <c r="E47" s="9">
        <f>C47*D47</f>
        <v>9.1874999999999995E-3</v>
      </c>
      <c r="F47" s="8">
        <f>B3*E47</f>
        <v>918.75</v>
      </c>
      <c r="G47" s="14">
        <v>0.29823453644037468</v>
      </c>
      <c r="H47" s="8">
        <f>F47*G47</f>
        <v>274.00298035459423</v>
      </c>
      <c r="I47" s="15">
        <v>0.85</v>
      </c>
      <c r="J47" s="16">
        <v>4579</v>
      </c>
    </row>
    <row r="49" spans="1:10" x14ac:dyDescent="0.2">
      <c r="A49" s="5" t="s">
        <v>20</v>
      </c>
      <c r="B49" s="5" t="s">
        <v>46</v>
      </c>
      <c r="C49" s="14">
        <v>0.125</v>
      </c>
      <c r="D49" s="14">
        <v>0.16139999999999999</v>
      </c>
      <c r="E49" s="9">
        <f t="shared" ref="E49:E63" si="3">C49*D49</f>
        <v>2.0174999999999998E-2</v>
      </c>
      <c r="F49" s="8">
        <f>B3*E49</f>
        <v>2017.4999999999998</v>
      </c>
      <c r="G49" s="14">
        <v>0.16363886831279811</v>
      </c>
      <c r="H49" s="8">
        <f t="shared" ref="H49:H63" si="4">F49*G49</f>
        <v>330.14141682107015</v>
      </c>
      <c r="I49" s="15">
        <v>4.26</v>
      </c>
      <c r="J49" s="16">
        <v>149.09</v>
      </c>
    </row>
    <row r="50" spans="1:10" x14ac:dyDescent="0.2">
      <c r="A50" s="5" t="s">
        <v>20</v>
      </c>
      <c r="B50" s="5" t="s">
        <v>59</v>
      </c>
      <c r="C50" s="14">
        <v>0.125</v>
      </c>
      <c r="D50" s="14">
        <v>4.3499999999999997E-2</v>
      </c>
      <c r="E50" s="9">
        <f t="shared" si="3"/>
        <v>5.4374999999999996E-3</v>
      </c>
      <c r="F50" s="8">
        <f>B3*E50</f>
        <v>543.75</v>
      </c>
      <c r="G50" s="14">
        <v>5.7237530744910788E-2</v>
      </c>
      <c r="H50" s="8">
        <f t="shared" si="4"/>
        <v>31.12290734254524</v>
      </c>
      <c r="I50" s="15">
        <v>1.53</v>
      </c>
      <c r="J50" s="16">
        <v>553.53</v>
      </c>
    </row>
    <row r="51" spans="1:10" x14ac:dyDescent="0.2">
      <c r="A51" s="5" t="s">
        <v>20</v>
      </c>
      <c r="B51" s="5" t="s">
        <v>49</v>
      </c>
      <c r="C51" s="14">
        <v>0.125</v>
      </c>
      <c r="D51" s="14">
        <v>1.9099999999999999E-2</v>
      </c>
      <c r="E51" s="9">
        <f t="shared" si="3"/>
        <v>2.3874999999999999E-3</v>
      </c>
      <c r="F51" s="8">
        <f>B3*E51</f>
        <v>238.75</v>
      </c>
      <c r="G51" s="14">
        <v>3.4808358551160698E-2</v>
      </c>
      <c r="H51" s="8">
        <f t="shared" si="4"/>
        <v>8.310495604089617</v>
      </c>
      <c r="I51" s="15">
        <v>1.01</v>
      </c>
      <c r="J51" s="16">
        <v>1262.53</v>
      </c>
    </row>
    <row r="52" spans="1:10" x14ac:dyDescent="0.2">
      <c r="A52" s="5" t="s">
        <v>20</v>
      </c>
      <c r="B52" s="5" t="s">
        <v>60</v>
      </c>
      <c r="C52" s="14">
        <v>0.125</v>
      </c>
      <c r="D52" s="14">
        <v>4.9400000000000013E-2</v>
      </c>
      <c r="E52" s="9">
        <f t="shared" si="3"/>
        <v>6.1750000000000017E-3</v>
      </c>
      <c r="F52" s="8">
        <f>B3*E52</f>
        <v>617.50000000000011</v>
      </c>
      <c r="G52" s="14">
        <v>4.7725084123234861E-2</v>
      </c>
      <c r="H52" s="8">
        <f t="shared" si="4"/>
        <v>29.470239446097533</v>
      </c>
      <c r="I52" s="15">
        <v>1.0900000000000001</v>
      </c>
      <c r="J52" s="16">
        <v>486.55</v>
      </c>
    </row>
    <row r="53" spans="1:10" x14ac:dyDescent="0.2">
      <c r="A53" s="5" t="s">
        <v>20</v>
      </c>
      <c r="B53" s="5" t="s">
        <v>43</v>
      </c>
      <c r="C53" s="14">
        <v>0.125</v>
      </c>
      <c r="D53" s="14">
        <v>9.01E-2</v>
      </c>
      <c r="E53" s="9">
        <f t="shared" si="3"/>
        <v>1.12625E-2</v>
      </c>
      <c r="F53" s="8">
        <f>B3*E53</f>
        <v>1126.25</v>
      </c>
      <c r="G53" s="14">
        <v>9.243382392575511E-2</v>
      </c>
      <c r="H53" s="8">
        <f t="shared" si="4"/>
        <v>104.10359419638169</v>
      </c>
      <c r="I53" s="15">
        <v>1.85</v>
      </c>
      <c r="J53" s="16">
        <v>267.04000000000002</v>
      </c>
    </row>
    <row r="54" spans="1:10" x14ac:dyDescent="0.2">
      <c r="A54" s="5" t="s">
        <v>20</v>
      </c>
      <c r="B54" s="5" t="s">
        <v>64</v>
      </c>
      <c r="C54" s="14">
        <v>0.125</v>
      </c>
      <c r="D54" s="14">
        <v>3.3099999999999997E-2</v>
      </c>
      <c r="E54" s="9">
        <f t="shared" si="3"/>
        <v>4.1374999999999997E-3</v>
      </c>
      <c r="F54" s="8">
        <f>B3*E54</f>
        <v>413.74999999999994</v>
      </c>
      <c r="G54" s="14">
        <v>3.3060293129844487E-2</v>
      </c>
      <c r="H54" s="8">
        <f t="shared" si="4"/>
        <v>13.678696282473155</v>
      </c>
      <c r="I54" s="15">
        <v>1.01</v>
      </c>
      <c r="J54" s="16">
        <v>727.1</v>
      </c>
    </row>
    <row r="55" spans="1:10" x14ac:dyDescent="0.2">
      <c r="A55" s="5" t="s">
        <v>20</v>
      </c>
      <c r="B55" s="5" t="s">
        <v>44</v>
      </c>
      <c r="C55" s="14">
        <v>0.125</v>
      </c>
      <c r="D55" s="14">
        <v>0.17050000000000001</v>
      </c>
      <c r="E55" s="9">
        <f t="shared" si="3"/>
        <v>2.1312500000000002E-2</v>
      </c>
      <c r="F55" s="8">
        <f>B3*E55</f>
        <v>2131.25</v>
      </c>
      <c r="G55" s="14">
        <v>0.2598882343822555</v>
      </c>
      <c r="H55" s="8">
        <f t="shared" si="4"/>
        <v>553.88679952718201</v>
      </c>
      <c r="I55" s="15">
        <v>3.13</v>
      </c>
      <c r="J55" s="16">
        <v>141.11000000000001</v>
      </c>
    </row>
    <row r="56" spans="1:10" x14ac:dyDescent="0.2">
      <c r="A56" s="5" t="s">
        <v>20</v>
      </c>
      <c r="B56" s="5" t="s">
        <v>56</v>
      </c>
      <c r="C56" s="14">
        <v>0.125</v>
      </c>
      <c r="D56" s="14">
        <v>7.4299999999999991E-2</v>
      </c>
      <c r="E56" s="9">
        <f t="shared" si="3"/>
        <v>9.2874999999999989E-3</v>
      </c>
      <c r="F56" s="8">
        <f>B3*E56</f>
        <v>928.74999999999989</v>
      </c>
      <c r="G56" s="14">
        <v>0.12886538550677101</v>
      </c>
      <c r="H56" s="8">
        <f t="shared" si="4"/>
        <v>119.68372678941357</v>
      </c>
      <c r="I56" s="15">
        <v>2.61</v>
      </c>
      <c r="J56" s="16">
        <v>323.61</v>
      </c>
    </row>
    <row r="57" spans="1:10" x14ac:dyDescent="0.2">
      <c r="A57" s="5" t="s">
        <v>20</v>
      </c>
      <c r="B57" s="5" t="s">
        <v>57</v>
      </c>
      <c r="C57" s="14">
        <v>0.125</v>
      </c>
      <c r="D57" s="14">
        <v>7.5800000000000006E-2</v>
      </c>
      <c r="E57" s="9">
        <f t="shared" si="3"/>
        <v>9.4750000000000008E-3</v>
      </c>
      <c r="F57" s="8">
        <f>B3*E57</f>
        <v>947.50000000000011</v>
      </c>
      <c r="G57" s="14">
        <v>0.10417987081779111</v>
      </c>
      <c r="H57" s="8">
        <f t="shared" si="4"/>
        <v>98.710427599857084</v>
      </c>
      <c r="I57" s="15">
        <v>2.1800000000000002</v>
      </c>
      <c r="J57" s="16">
        <v>317.39999999999998</v>
      </c>
    </row>
    <row r="58" spans="1:10" x14ac:dyDescent="0.2">
      <c r="A58" s="5" t="s">
        <v>20</v>
      </c>
      <c r="B58" s="5" t="s">
        <v>62</v>
      </c>
      <c r="C58" s="14">
        <v>0.125</v>
      </c>
      <c r="D58" s="14">
        <v>3.15E-2</v>
      </c>
      <c r="E58" s="9">
        <f t="shared" si="3"/>
        <v>3.9375E-3</v>
      </c>
      <c r="F58" s="8">
        <f>B3*E58</f>
        <v>393.75</v>
      </c>
      <c r="G58" s="14">
        <v>7.5742052359749054E-2</v>
      </c>
      <c r="H58" s="8">
        <f t="shared" si="4"/>
        <v>29.823433116651191</v>
      </c>
      <c r="I58" s="15">
        <v>1.53</v>
      </c>
      <c r="J58" s="16">
        <v>763.98</v>
      </c>
    </row>
    <row r="59" spans="1:10" x14ac:dyDescent="0.2">
      <c r="A59" s="5" t="s">
        <v>20</v>
      </c>
      <c r="B59" s="5" t="s">
        <v>48</v>
      </c>
      <c r="C59" s="14">
        <v>0.125</v>
      </c>
      <c r="D59" s="14">
        <v>3.27E-2</v>
      </c>
      <c r="E59" s="9">
        <f t="shared" si="3"/>
        <v>4.0875E-3</v>
      </c>
      <c r="F59" s="8">
        <f>B3*E59</f>
        <v>408.75</v>
      </c>
      <c r="G59" s="14">
        <v>5.6236613514713499E-2</v>
      </c>
      <c r="H59" s="8">
        <f t="shared" si="4"/>
        <v>22.986715774139142</v>
      </c>
      <c r="I59" s="15">
        <v>1.4</v>
      </c>
      <c r="J59" s="16">
        <v>735.54</v>
      </c>
    </row>
    <row r="60" spans="1:10" x14ac:dyDescent="0.2">
      <c r="A60" s="5" t="s">
        <v>20</v>
      </c>
      <c r="B60" s="5" t="s">
        <v>61</v>
      </c>
      <c r="C60" s="14">
        <v>0.125</v>
      </c>
      <c r="D60" s="14">
        <v>4.0599999999999997E-2</v>
      </c>
      <c r="E60" s="9">
        <f t="shared" si="3"/>
        <v>5.0749999999999997E-3</v>
      </c>
      <c r="F60" s="8">
        <f>B3*E60</f>
        <v>507.49999999999994</v>
      </c>
      <c r="G60" s="14">
        <v>3.5871851794559401E-2</v>
      </c>
      <c r="H60" s="8">
        <f t="shared" si="4"/>
        <v>18.204964785738895</v>
      </c>
      <c r="I60" s="15">
        <v>1.29</v>
      </c>
      <c r="J60" s="16">
        <v>592.92999999999995</v>
      </c>
    </row>
    <row r="61" spans="1:10" x14ac:dyDescent="0.2">
      <c r="A61" s="5" t="s">
        <v>20</v>
      </c>
      <c r="B61" s="5" t="s">
        <v>45</v>
      </c>
      <c r="C61" s="14">
        <v>0.125</v>
      </c>
      <c r="D61" s="14">
        <v>9.3900000000000011E-2</v>
      </c>
      <c r="E61" s="9">
        <f t="shared" si="3"/>
        <v>1.1737500000000001E-2</v>
      </c>
      <c r="F61" s="8">
        <f>B3*E61</f>
        <v>1173.7500000000002</v>
      </c>
      <c r="G61" s="14">
        <v>0.1188260555884741</v>
      </c>
      <c r="H61" s="8">
        <f t="shared" si="4"/>
        <v>139.47208274697149</v>
      </c>
      <c r="I61" s="15">
        <v>2.17</v>
      </c>
      <c r="J61" s="16">
        <v>256.2</v>
      </c>
    </row>
    <row r="62" spans="1:10" x14ac:dyDescent="0.2">
      <c r="A62" s="5" t="s">
        <v>20</v>
      </c>
      <c r="B62" s="5" t="s">
        <v>58</v>
      </c>
      <c r="C62" s="14">
        <v>0.125</v>
      </c>
      <c r="D62" s="14">
        <v>4.8499999999999988E-2</v>
      </c>
      <c r="E62" s="9">
        <f t="shared" si="3"/>
        <v>6.0624999999999984E-3</v>
      </c>
      <c r="F62" s="8">
        <f>B3*E62</f>
        <v>606.24999999999989</v>
      </c>
      <c r="G62" s="14">
        <v>6.1130900343341697E-2</v>
      </c>
      <c r="H62" s="8">
        <f t="shared" si="4"/>
        <v>37.060608333150896</v>
      </c>
      <c r="I62" s="15">
        <v>1.46</v>
      </c>
      <c r="J62" s="16">
        <v>495.84</v>
      </c>
    </row>
    <row r="63" spans="1:10" x14ac:dyDescent="0.2">
      <c r="A63" s="5" t="s">
        <v>20</v>
      </c>
      <c r="B63" s="5" t="s">
        <v>63</v>
      </c>
      <c r="C63" s="14">
        <v>0.125</v>
      </c>
      <c r="D63" s="14">
        <v>3.56E-2</v>
      </c>
      <c r="E63" s="9">
        <f t="shared" si="3"/>
        <v>4.45E-3</v>
      </c>
      <c r="F63" s="8">
        <f>B3*E63</f>
        <v>445</v>
      </c>
      <c r="G63" s="14">
        <v>4.0976469350020722E-2</v>
      </c>
      <c r="H63" s="8">
        <f t="shared" si="4"/>
        <v>18.234528860759223</v>
      </c>
      <c r="I63" s="15">
        <v>0.97</v>
      </c>
      <c r="J63" s="16">
        <v>674.92</v>
      </c>
    </row>
    <row r="65" spans="1:10" x14ac:dyDescent="0.2">
      <c r="A65" s="5" t="s">
        <v>19</v>
      </c>
      <c r="B65" s="5" t="s">
        <v>67</v>
      </c>
      <c r="C65" s="14">
        <v>0.125</v>
      </c>
      <c r="D65" s="14">
        <v>0.1235</v>
      </c>
      <c r="E65" s="9">
        <f t="shared" ref="E65:E70" si="5">C65*D65</f>
        <v>1.54375E-2</v>
      </c>
      <c r="F65" s="8">
        <f>B3*E65</f>
        <v>1543.75</v>
      </c>
      <c r="G65" s="14">
        <v>0.17929380490060101</v>
      </c>
      <c r="H65" s="8">
        <f t="shared" ref="H65:H70" si="6">F65*G65</f>
        <v>276.78481131530282</v>
      </c>
      <c r="I65" s="15">
        <v>1.44</v>
      </c>
      <c r="J65" s="16">
        <v>19.28</v>
      </c>
    </row>
    <row r="66" spans="1:10" x14ac:dyDescent="0.2">
      <c r="A66" s="5" t="s">
        <v>19</v>
      </c>
      <c r="B66" s="5" t="s">
        <v>69</v>
      </c>
      <c r="C66" s="14">
        <v>0.125</v>
      </c>
      <c r="D66" s="14">
        <v>0.10249999999999999</v>
      </c>
      <c r="E66" s="9">
        <f t="shared" si="5"/>
        <v>1.2812499999999999E-2</v>
      </c>
      <c r="F66" s="8">
        <f>B3*E66</f>
        <v>1281.25</v>
      </c>
      <c r="G66" s="14">
        <v>0.12592523808934869</v>
      </c>
      <c r="H66" s="8">
        <f t="shared" si="6"/>
        <v>161.34171130197802</v>
      </c>
      <c r="I66" s="15">
        <v>0.84</v>
      </c>
      <c r="J66" s="16">
        <v>23.23</v>
      </c>
    </row>
    <row r="67" spans="1:10" x14ac:dyDescent="0.2">
      <c r="A67" s="5" t="s">
        <v>19</v>
      </c>
      <c r="B67" s="5" t="s">
        <v>52</v>
      </c>
      <c r="C67" s="14">
        <v>0.125</v>
      </c>
      <c r="D67" s="14">
        <v>0.13930000000000001</v>
      </c>
      <c r="E67" s="9">
        <f t="shared" si="5"/>
        <v>1.7412500000000001E-2</v>
      </c>
      <c r="F67" s="8">
        <f>B3*E67</f>
        <v>1741.25</v>
      </c>
      <c r="G67" s="14">
        <v>0.10434506088802779</v>
      </c>
      <c r="H67" s="8">
        <f t="shared" si="6"/>
        <v>181.69083727127838</v>
      </c>
      <c r="I67" s="15">
        <v>0.9</v>
      </c>
      <c r="J67" s="16">
        <v>17.09</v>
      </c>
    </row>
    <row r="68" spans="1:10" x14ac:dyDescent="0.2">
      <c r="A68" s="5" t="s">
        <v>19</v>
      </c>
      <c r="B68" s="5" t="s">
        <v>68</v>
      </c>
      <c r="C68" s="14">
        <v>0.125</v>
      </c>
      <c r="D68" s="14">
        <v>0.1176</v>
      </c>
      <c r="E68" s="9">
        <f t="shared" si="5"/>
        <v>1.47E-2</v>
      </c>
      <c r="F68" s="8">
        <f>B3*E68</f>
        <v>1470</v>
      </c>
      <c r="G68" s="14">
        <v>8.1145476585578274E-2</v>
      </c>
      <c r="H68" s="8">
        <f t="shared" si="6"/>
        <v>119.28385058080006</v>
      </c>
      <c r="I68" s="15">
        <v>0.95</v>
      </c>
      <c r="J68" s="16">
        <v>20.25</v>
      </c>
    </row>
    <row r="69" spans="1:10" x14ac:dyDescent="0.2">
      <c r="A69" s="5" t="s">
        <v>19</v>
      </c>
      <c r="B69" s="5" t="s">
        <v>66</v>
      </c>
      <c r="C69" s="14">
        <v>0.125</v>
      </c>
      <c r="D69" s="14">
        <v>0.14149999999999999</v>
      </c>
      <c r="E69" s="9">
        <f t="shared" si="5"/>
        <v>1.7687499999999998E-2</v>
      </c>
      <c r="F69" s="8">
        <f>B3*E69</f>
        <v>1768.7499999999998</v>
      </c>
      <c r="G69" s="14">
        <v>0.1221737101234532</v>
      </c>
      <c r="H69" s="8">
        <f t="shared" si="6"/>
        <v>216.09474978085782</v>
      </c>
      <c r="I69" s="15">
        <v>0.85</v>
      </c>
      <c r="J69" s="16">
        <v>16.829999999999998</v>
      </c>
    </row>
    <row r="70" spans="1:10" x14ac:dyDescent="0.2">
      <c r="A70" s="5" t="s">
        <v>19</v>
      </c>
      <c r="B70" s="5" t="s">
        <v>53</v>
      </c>
      <c r="C70" s="14">
        <v>0.125</v>
      </c>
      <c r="D70" s="14">
        <v>0.37559999999999999</v>
      </c>
      <c r="E70" s="9">
        <f t="shared" si="5"/>
        <v>4.6949999999999999E-2</v>
      </c>
      <c r="F70" s="8">
        <f>B3*E70</f>
        <v>4695</v>
      </c>
      <c r="G70" s="14">
        <v>0.31989785882370081</v>
      </c>
      <c r="H70" s="8">
        <f t="shared" si="6"/>
        <v>1501.9204471772753</v>
      </c>
      <c r="I70" s="15">
        <v>0.9</v>
      </c>
      <c r="J70" s="16">
        <v>6.34</v>
      </c>
    </row>
    <row r="72" spans="1:10" x14ac:dyDescent="0.2">
      <c r="A72" s="5" t="s">
        <v>23</v>
      </c>
      <c r="B72" s="5" t="s">
        <v>70</v>
      </c>
      <c r="C72" s="14">
        <v>0.125</v>
      </c>
      <c r="D72" s="14">
        <v>1</v>
      </c>
      <c r="E72" s="9">
        <f>C72*D72</f>
        <v>0.125</v>
      </c>
      <c r="F72" s="8">
        <f>B3*E72</f>
        <v>12500</v>
      </c>
      <c r="G72" s="14">
        <v>0.2445482895588334</v>
      </c>
      <c r="H72" s="8">
        <f>F72*G72</f>
        <v>3056.8536194854173</v>
      </c>
      <c r="I72" s="15">
        <v>2.71</v>
      </c>
      <c r="J72" s="16">
        <v>410</v>
      </c>
    </row>
    <row r="74" spans="1:10" x14ac:dyDescent="0.2">
      <c r="A74" s="10" t="s">
        <v>24</v>
      </c>
      <c r="B74" s="17"/>
      <c r="C74" s="17"/>
      <c r="D74" s="17"/>
      <c r="E74" s="11">
        <f>SUMIF(A25:A72,"&lt;&gt;",E25:E72)</f>
        <v>1.0000249999999999</v>
      </c>
      <c r="F74" s="12">
        <f>SUMIF(A25:A72,"&lt;&gt;",F25:F72)</f>
        <v>100002.5</v>
      </c>
      <c r="G74" s="17"/>
      <c r="H74" s="12">
        <f>SUMIF(A25:A72,"&lt;&gt;",H25:H72)</f>
        <v>24629.897305464008</v>
      </c>
      <c r="I74" s="17"/>
      <c r="J74" s="17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4"/>
  <sheetViews>
    <sheetView workbookViewId="0">
      <selection activeCell="A5" sqref="A5:D7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26" t="s">
        <v>83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6" x14ac:dyDescent="0.2">
      <c r="A3" s="18" t="s">
        <v>72</v>
      </c>
      <c r="B3" s="19">
        <f>'Portfolio Allocation'!B3</f>
        <v>100000</v>
      </c>
    </row>
    <row r="5" spans="1:10" ht="16" x14ac:dyDescent="0.2">
      <c r="A5" s="33" t="s">
        <v>3</v>
      </c>
      <c r="B5" s="28"/>
      <c r="C5" s="28"/>
      <c r="D5" s="28"/>
    </row>
    <row r="6" spans="1:10" x14ac:dyDescent="0.2">
      <c r="A6" s="34" t="s">
        <v>73</v>
      </c>
      <c r="B6" s="12">
        <f>E20</f>
        <v>23230.980985972521</v>
      </c>
      <c r="C6" s="5"/>
      <c r="D6" s="5"/>
    </row>
    <row r="7" spans="1:10" x14ac:dyDescent="0.2">
      <c r="A7" s="34" t="s">
        <v>74</v>
      </c>
      <c r="B7" s="11">
        <f>IF(B3&gt;0,B6/B3,0)</f>
        <v>0.23230980985972521</v>
      </c>
      <c r="C7" s="5"/>
      <c r="D7" s="5"/>
    </row>
    <row r="10" spans="1:10" ht="16" x14ac:dyDescent="0.2">
      <c r="A10" s="25" t="s">
        <v>75</v>
      </c>
      <c r="B10" s="23"/>
      <c r="C10" s="23"/>
      <c r="D10" s="23"/>
      <c r="E10" s="23"/>
      <c r="F10" s="23"/>
    </row>
    <row r="11" spans="1:10" x14ac:dyDescent="0.2">
      <c r="A11" s="20" t="s">
        <v>10</v>
      </c>
      <c r="B11" s="20" t="s">
        <v>11</v>
      </c>
      <c r="C11" s="20" t="s">
        <v>27</v>
      </c>
      <c r="D11" s="20" t="s">
        <v>13</v>
      </c>
      <c r="E11" s="20" t="s">
        <v>76</v>
      </c>
      <c r="F11" s="20" t="s">
        <v>15</v>
      </c>
    </row>
    <row r="12" spans="1:10" x14ac:dyDescent="0.2">
      <c r="A12" s="5" t="s">
        <v>16</v>
      </c>
      <c r="B12" s="6">
        <v>2</v>
      </c>
      <c r="C12" s="14">
        <v>0.125</v>
      </c>
      <c r="D12" s="8">
        <f>B3*C12</f>
        <v>12500</v>
      </c>
      <c r="E12" s="8">
        <f>SUMIF(A25:A72,A12,H25:H72)</f>
        <v>3771.9483581481177</v>
      </c>
      <c r="F12" s="9">
        <f t="shared" ref="F12:F20" si="0">IF(D12&gt;0,E12/D12,0)</f>
        <v>0.30175586865184939</v>
      </c>
    </row>
    <row r="13" spans="1:10" x14ac:dyDescent="0.2">
      <c r="A13" s="5" t="s">
        <v>17</v>
      </c>
      <c r="B13" s="6">
        <v>2</v>
      </c>
      <c r="C13" s="14">
        <v>0.125</v>
      </c>
      <c r="D13" s="8">
        <f>B3*C13</f>
        <v>12500</v>
      </c>
      <c r="E13" s="8">
        <f>SUMIF(A25:A72,A13,H25:H72)</f>
        <v>4004.1438703075955</v>
      </c>
      <c r="F13" s="9">
        <f t="shared" si="0"/>
        <v>0.32033150962460766</v>
      </c>
    </row>
    <row r="14" spans="1:10" x14ac:dyDescent="0.2">
      <c r="A14" s="5" t="s">
        <v>18</v>
      </c>
      <c r="B14" s="6">
        <v>8</v>
      </c>
      <c r="C14" s="14">
        <v>0.125</v>
      </c>
      <c r="D14" s="8">
        <f>B3*C14</f>
        <v>12500</v>
      </c>
      <c r="E14" s="8">
        <f>SUMIF(A25:A72,A14,H25:H72)</f>
        <v>3743.8381736945357</v>
      </c>
      <c r="F14" s="9">
        <f t="shared" si="0"/>
        <v>0.29950705389556287</v>
      </c>
    </row>
    <row r="15" spans="1:10" x14ac:dyDescent="0.2">
      <c r="A15" s="5" t="s">
        <v>19</v>
      </c>
      <c r="B15" s="6">
        <v>6</v>
      </c>
      <c r="C15" s="14">
        <v>0.125</v>
      </c>
      <c r="D15" s="8">
        <f>B3*C15</f>
        <v>12500</v>
      </c>
      <c r="E15" s="8">
        <f>SUMIF(A25:A72,A15,H25:H72)</f>
        <v>1970.1141810387207</v>
      </c>
      <c r="F15" s="9">
        <f t="shared" si="0"/>
        <v>0.15760913448309766</v>
      </c>
    </row>
    <row r="16" spans="1:10" x14ac:dyDescent="0.2">
      <c r="A16" s="5" t="s">
        <v>20</v>
      </c>
      <c r="B16" s="6">
        <v>15</v>
      </c>
      <c r="C16" s="14">
        <v>0.125</v>
      </c>
      <c r="D16" s="8">
        <f>B3*C16</f>
        <v>12500</v>
      </c>
      <c r="E16" s="8">
        <f>SUMIF(A25:A72,A16,H25:H72)</f>
        <v>1401.0254656233217</v>
      </c>
      <c r="F16" s="9">
        <f t="shared" si="0"/>
        <v>0.11208203724986573</v>
      </c>
    </row>
    <row r="17" spans="1:10" x14ac:dyDescent="0.2">
      <c r="A17" s="5" t="s">
        <v>21</v>
      </c>
      <c r="B17" s="6">
        <v>2</v>
      </c>
      <c r="C17" s="14">
        <v>0.125</v>
      </c>
      <c r="D17" s="8">
        <f>B3*C17</f>
        <v>12500</v>
      </c>
      <c r="E17" s="8">
        <f>SUMIF(A25:A72,A17,H25:H72)</f>
        <v>2388.913110580037</v>
      </c>
      <c r="F17" s="9">
        <f t="shared" si="0"/>
        <v>0.19111304884640296</v>
      </c>
    </row>
    <row r="18" spans="1:10" x14ac:dyDescent="0.2">
      <c r="A18" s="5" t="s">
        <v>22</v>
      </c>
      <c r="B18" s="6">
        <v>5</v>
      </c>
      <c r="C18" s="14">
        <v>0.125</v>
      </c>
      <c r="D18" s="8">
        <f>B3*C18</f>
        <v>12500</v>
      </c>
      <c r="E18" s="8">
        <f>SUMIF(A25:A72,A18,H25:H72)</f>
        <v>2894.1442070947737</v>
      </c>
      <c r="F18" s="9">
        <f t="shared" si="0"/>
        <v>0.23153153656758191</v>
      </c>
    </row>
    <row r="19" spans="1:10" x14ac:dyDescent="0.2">
      <c r="A19" s="5" t="s">
        <v>23</v>
      </c>
      <c r="B19" s="6">
        <v>1</v>
      </c>
      <c r="C19" s="14">
        <v>0.125</v>
      </c>
      <c r="D19" s="8">
        <f>B3*C19</f>
        <v>12500</v>
      </c>
      <c r="E19" s="8">
        <f>SUMIF(A25:A72,A19,H25:H72)</f>
        <v>3056.8536194854173</v>
      </c>
      <c r="F19" s="9">
        <f t="shared" si="0"/>
        <v>0.2445482895588334</v>
      </c>
    </row>
    <row r="20" spans="1:10" x14ac:dyDescent="0.2">
      <c r="A20" s="10" t="s">
        <v>24</v>
      </c>
      <c r="B20" s="10">
        <f>SUM(B12:B19)</f>
        <v>41</v>
      </c>
      <c r="C20" s="11">
        <f>SUM(C12:C19)</f>
        <v>1</v>
      </c>
      <c r="D20" s="12">
        <f>SUM(D12:D19)</f>
        <v>100000</v>
      </c>
      <c r="E20" s="12">
        <f>SUM(E12:E19)</f>
        <v>23230.980985972521</v>
      </c>
      <c r="F20" s="11">
        <f t="shared" si="0"/>
        <v>0.23230980985972521</v>
      </c>
    </row>
    <row r="23" spans="1:10" ht="16" x14ac:dyDescent="0.2">
      <c r="A23" s="25" t="s">
        <v>77</v>
      </c>
      <c r="B23" s="23"/>
      <c r="C23" s="23"/>
      <c r="D23" s="23"/>
      <c r="E23" s="23"/>
      <c r="F23" s="23"/>
      <c r="G23" s="23"/>
      <c r="H23" s="23"/>
      <c r="I23" s="23"/>
      <c r="J23" s="23"/>
    </row>
    <row r="24" spans="1:10" x14ac:dyDescent="0.2">
      <c r="A24" s="21" t="s">
        <v>10</v>
      </c>
      <c r="B24" s="21" t="s">
        <v>26</v>
      </c>
      <c r="C24" s="21" t="s">
        <v>78</v>
      </c>
      <c r="D24" s="21" t="s">
        <v>79</v>
      </c>
      <c r="E24" s="21" t="s">
        <v>80</v>
      </c>
      <c r="F24" s="21" t="s">
        <v>13</v>
      </c>
      <c r="G24" s="21" t="s">
        <v>30</v>
      </c>
      <c r="H24" s="21" t="s">
        <v>14</v>
      </c>
      <c r="I24" s="21" t="s">
        <v>35</v>
      </c>
      <c r="J24" s="21" t="s">
        <v>81</v>
      </c>
    </row>
    <row r="25" spans="1:10" x14ac:dyDescent="0.2">
      <c r="A25" s="5" t="s">
        <v>16</v>
      </c>
      <c r="B25" s="5" t="s">
        <v>34</v>
      </c>
      <c r="C25" s="14">
        <v>0.125</v>
      </c>
      <c r="D25" s="14">
        <v>0.5222</v>
      </c>
      <c r="E25" s="9">
        <f>C25*D25</f>
        <v>6.5275E-2</v>
      </c>
      <c r="F25" s="8">
        <f>B3*E25</f>
        <v>6527.5</v>
      </c>
      <c r="G25" s="14">
        <v>0.2832023821672856</v>
      </c>
      <c r="H25" s="8">
        <f>F25*G25</f>
        <v>1848.6035495969568</v>
      </c>
      <c r="I25" s="15">
        <v>1.53</v>
      </c>
      <c r="J25" s="16">
        <v>752</v>
      </c>
    </row>
    <row r="26" spans="1:10" x14ac:dyDescent="0.2">
      <c r="A26" s="5" t="s">
        <v>16</v>
      </c>
      <c r="B26" s="5" t="s">
        <v>36</v>
      </c>
      <c r="C26" s="14">
        <v>0.125</v>
      </c>
      <c r="D26" s="14">
        <v>0.4778</v>
      </c>
      <c r="E26" s="9">
        <f>C26*D26</f>
        <v>5.9725E-2</v>
      </c>
      <c r="F26" s="8">
        <f>B3*E26</f>
        <v>5972.5</v>
      </c>
      <c r="G26" s="14">
        <v>0.3220334547595079</v>
      </c>
      <c r="H26" s="8">
        <f>F26*G26</f>
        <v>1923.3448085511609</v>
      </c>
      <c r="I26" s="15">
        <v>1.4</v>
      </c>
      <c r="J26" s="16">
        <v>580</v>
      </c>
    </row>
    <row r="28" spans="1:10" x14ac:dyDescent="0.2">
      <c r="A28" s="5" t="s">
        <v>21</v>
      </c>
      <c r="B28" s="5" t="s">
        <v>37</v>
      </c>
      <c r="C28" s="14">
        <v>0.125</v>
      </c>
      <c r="D28" s="14">
        <v>0.74260000000000004</v>
      </c>
      <c r="E28" s="9">
        <f>C28*D28</f>
        <v>9.2825000000000005E-2</v>
      </c>
      <c r="F28" s="8">
        <f>B3*E28</f>
        <v>9282.5</v>
      </c>
      <c r="G28" s="14">
        <v>0.1575684854596989</v>
      </c>
      <c r="H28" s="8">
        <f>F28*G28</f>
        <v>1462.6294662796549</v>
      </c>
      <c r="I28" s="15">
        <v>5.77</v>
      </c>
      <c r="J28" s="16">
        <v>3319</v>
      </c>
    </row>
    <row r="29" spans="1:10" x14ac:dyDescent="0.2">
      <c r="A29" s="5" t="s">
        <v>21</v>
      </c>
      <c r="B29" s="5" t="s">
        <v>39</v>
      </c>
      <c r="C29" s="14">
        <v>0.125</v>
      </c>
      <c r="D29" s="14">
        <v>0.25740000000000002</v>
      </c>
      <c r="E29" s="9">
        <f>C29*D29</f>
        <v>3.2175000000000002E-2</v>
      </c>
      <c r="F29" s="8">
        <f>B3*E29</f>
        <v>3217.5</v>
      </c>
      <c r="G29" s="14">
        <v>0.28788924453780329</v>
      </c>
      <c r="H29" s="8">
        <f>F29*G29</f>
        <v>926.28364430038209</v>
      </c>
      <c r="I29" s="15">
        <v>2</v>
      </c>
      <c r="J29" s="16">
        <v>6752</v>
      </c>
    </row>
    <row r="31" spans="1:10" x14ac:dyDescent="0.2">
      <c r="A31" s="5" t="s">
        <v>17</v>
      </c>
      <c r="B31" s="5" t="s">
        <v>40</v>
      </c>
      <c r="C31" s="14">
        <v>0.125</v>
      </c>
      <c r="D31" s="14">
        <v>0.59719999999999995</v>
      </c>
      <c r="E31" s="9">
        <f>C31*D31</f>
        <v>7.4649999999999994E-2</v>
      </c>
      <c r="F31" s="8">
        <f>B3*E31</f>
        <v>7464.9999999999991</v>
      </c>
      <c r="G31" s="14">
        <v>0.35841800574389149</v>
      </c>
      <c r="H31" s="8">
        <f>F31*G31</f>
        <v>2675.5904128781494</v>
      </c>
      <c r="I31" s="15">
        <v>1.26</v>
      </c>
      <c r="J31" s="16">
        <v>556</v>
      </c>
    </row>
    <row r="32" spans="1:10" x14ac:dyDescent="0.2">
      <c r="A32" s="5" t="s">
        <v>17</v>
      </c>
      <c r="B32" s="5" t="s">
        <v>41</v>
      </c>
      <c r="C32" s="14">
        <v>0.125</v>
      </c>
      <c r="D32" s="14">
        <v>0.40279999999999999</v>
      </c>
      <c r="E32" s="9">
        <f>C32*D32</f>
        <v>5.0349999999999999E-2</v>
      </c>
      <c r="F32" s="8">
        <f>B3*E32</f>
        <v>5035</v>
      </c>
      <c r="G32" s="14">
        <v>0.26386364596414019</v>
      </c>
      <c r="H32" s="8">
        <f>F32*G32</f>
        <v>1328.5534574294459</v>
      </c>
      <c r="I32" s="15">
        <v>0.85</v>
      </c>
      <c r="J32" s="16">
        <v>2860</v>
      </c>
    </row>
    <row r="34" spans="1:10" x14ac:dyDescent="0.2">
      <c r="A34" s="5" t="s">
        <v>18</v>
      </c>
      <c r="B34" s="5" t="s">
        <v>47</v>
      </c>
      <c r="C34" s="14">
        <v>0.125</v>
      </c>
      <c r="D34" s="14">
        <v>8.2400000000000001E-2</v>
      </c>
      <c r="E34" s="9">
        <f t="shared" ref="E34:E41" si="1">C34*D34</f>
        <v>1.03E-2</v>
      </c>
      <c r="F34" s="8">
        <f>B3*E34</f>
        <v>1030</v>
      </c>
      <c r="G34" s="14">
        <v>0.1223303009975288</v>
      </c>
      <c r="H34" s="8">
        <f t="shared" ref="H34:H41" si="2">F34*G34</f>
        <v>126.00021002745466</v>
      </c>
      <c r="I34" s="15">
        <v>3.27</v>
      </c>
      <c r="J34" s="16">
        <v>289.60000000000002</v>
      </c>
    </row>
    <row r="35" spans="1:10" x14ac:dyDescent="0.2">
      <c r="A35" s="5" t="s">
        <v>18</v>
      </c>
      <c r="B35" s="5" t="s">
        <v>46</v>
      </c>
      <c r="C35" s="14">
        <v>0.125</v>
      </c>
      <c r="D35" s="14">
        <v>0.19600000000000001</v>
      </c>
      <c r="E35" s="9">
        <f t="shared" si="1"/>
        <v>2.4500000000000001E-2</v>
      </c>
      <c r="F35" s="8">
        <f>B3*E35</f>
        <v>2450</v>
      </c>
      <c r="G35" s="14">
        <v>0.36557983602231447</v>
      </c>
      <c r="H35" s="8">
        <f t="shared" si="2"/>
        <v>895.67059825467049</v>
      </c>
      <c r="I35" s="15">
        <v>7.78</v>
      </c>
      <c r="J35" s="16">
        <v>459.6</v>
      </c>
    </row>
    <row r="36" spans="1:10" x14ac:dyDescent="0.2">
      <c r="A36" s="5" t="s">
        <v>18</v>
      </c>
      <c r="B36" s="5" t="s">
        <v>49</v>
      </c>
      <c r="C36" s="14">
        <v>0.125</v>
      </c>
      <c r="D36" s="14">
        <v>0.1333</v>
      </c>
      <c r="E36" s="9">
        <f t="shared" si="1"/>
        <v>1.66625E-2</v>
      </c>
      <c r="F36" s="8">
        <f>B3*E36</f>
        <v>1666.25</v>
      </c>
      <c r="G36" s="14">
        <v>0.1701591411339754</v>
      </c>
      <c r="H36" s="8">
        <f t="shared" si="2"/>
        <v>283.52766891448653</v>
      </c>
      <c r="I36" s="15">
        <v>5.29</v>
      </c>
      <c r="J36" s="16">
        <v>778</v>
      </c>
    </row>
    <row r="37" spans="1:10" x14ac:dyDescent="0.2">
      <c r="A37" s="5" t="s">
        <v>18</v>
      </c>
      <c r="B37" s="5" t="s">
        <v>43</v>
      </c>
      <c r="C37" s="14">
        <v>0.125</v>
      </c>
      <c r="D37" s="14">
        <v>0.13250000000000001</v>
      </c>
      <c r="E37" s="9">
        <f t="shared" si="1"/>
        <v>1.6562500000000001E-2</v>
      </c>
      <c r="F37" s="8">
        <f>B3*E37</f>
        <v>1656.25</v>
      </c>
      <c r="G37" s="14">
        <v>0.47127271300184448</v>
      </c>
      <c r="H37" s="8">
        <f t="shared" si="2"/>
        <v>780.54543090930497</v>
      </c>
      <c r="I37" s="15">
        <v>5.26</v>
      </c>
      <c r="J37" s="16">
        <v>116.2</v>
      </c>
    </row>
    <row r="38" spans="1:10" x14ac:dyDescent="0.2">
      <c r="A38" s="5" t="s">
        <v>18</v>
      </c>
      <c r="B38" s="5" t="s">
        <v>42</v>
      </c>
      <c r="C38" s="14">
        <v>0.125</v>
      </c>
      <c r="D38" s="14">
        <v>0.1139</v>
      </c>
      <c r="E38" s="9">
        <f t="shared" si="1"/>
        <v>1.42375E-2</v>
      </c>
      <c r="F38" s="8">
        <f>B3*E38</f>
        <v>1423.75</v>
      </c>
      <c r="G38" s="14">
        <v>0.44153906110968588</v>
      </c>
      <c r="H38" s="8">
        <f t="shared" si="2"/>
        <v>628.64123825491527</v>
      </c>
      <c r="I38" s="15">
        <v>4.5199999999999996</v>
      </c>
      <c r="J38" s="16">
        <v>93.2</v>
      </c>
    </row>
    <row r="39" spans="1:10" x14ac:dyDescent="0.2">
      <c r="A39" s="5" t="s">
        <v>18</v>
      </c>
      <c r="B39" s="5" t="s">
        <v>44</v>
      </c>
      <c r="C39" s="14">
        <v>0.125</v>
      </c>
      <c r="D39" s="14">
        <v>8.9700000000000002E-2</v>
      </c>
      <c r="E39" s="9">
        <f t="shared" si="1"/>
        <v>1.12125E-2</v>
      </c>
      <c r="F39" s="8">
        <f>B3*E39</f>
        <v>1121.25</v>
      </c>
      <c r="G39" s="14">
        <v>0.27756887439903111</v>
      </c>
      <c r="H39" s="8">
        <f t="shared" si="2"/>
        <v>311.22410041991361</v>
      </c>
      <c r="I39" s="15">
        <v>3.56</v>
      </c>
      <c r="J39" s="16">
        <v>154.80000000000001</v>
      </c>
    </row>
    <row r="40" spans="1:10" x14ac:dyDescent="0.2">
      <c r="A40" s="5" t="s">
        <v>18</v>
      </c>
      <c r="B40" s="5" t="s">
        <v>48</v>
      </c>
      <c r="C40" s="14">
        <v>0.125</v>
      </c>
      <c r="D40" s="14">
        <v>7.0499999999999993E-2</v>
      </c>
      <c r="E40" s="9">
        <f t="shared" si="1"/>
        <v>8.8124999999999992E-3</v>
      </c>
      <c r="F40" s="8">
        <f>B3*E40</f>
        <v>881.24999999999989</v>
      </c>
      <c r="G40" s="14">
        <v>0.14789904989094621</v>
      </c>
      <c r="H40" s="8">
        <f t="shared" si="2"/>
        <v>130.33603771639633</v>
      </c>
      <c r="I40" s="15">
        <v>2.8</v>
      </c>
      <c r="J40" s="16">
        <v>408.1</v>
      </c>
    </row>
    <row r="41" spans="1:10" x14ac:dyDescent="0.2">
      <c r="A41" s="5" t="s">
        <v>18</v>
      </c>
      <c r="B41" s="5" t="s">
        <v>45</v>
      </c>
      <c r="C41" s="14">
        <v>0.125</v>
      </c>
      <c r="D41" s="14">
        <v>0.1817</v>
      </c>
      <c r="E41" s="9">
        <f t="shared" si="1"/>
        <v>2.27125E-2</v>
      </c>
      <c r="F41" s="8">
        <f>B3*E41</f>
        <v>2271.25</v>
      </c>
      <c r="G41" s="14">
        <v>0.25884111797353621</v>
      </c>
      <c r="H41" s="8">
        <f t="shared" si="2"/>
        <v>587.89288919739408</v>
      </c>
      <c r="I41" s="15">
        <v>7.21</v>
      </c>
      <c r="J41" s="16">
        <v>356.6</v>
      </c>
    </row>
    <row r="43" spans="1:10" x14ac:dyDescent="0.2">
      <c r="A43" s="5" t="s">
        <v>22</v>
      </c>
      <c r="B43" s="5" t="s">
        <v>50</v>
      </c>
      <c r="C43" s="14">
        <v>0.125</v>
      </c>
      <c r="D43" s="14">
        <v>0.3029</v>
      </c>
      <c r="E43" s="9">
        <f>C43*D43</f>
        <v>3.78625E-2</v>
      </c>
      <c r="F43" s="8">
        <f>B3*E43</f>
        <v>3786.25</v>
      </c>
      <c r="G43" s="14">
        <v>0.20181423695599979</v>
      </c>
      <c r="H43" s="8">
        <f>F43*G43</f>
        <v>764.11915467465417</v>
      </c>
      <c r="I43" s="15">
        <v>1.31</v>
      </c>
      <c r="J43" s="16">
        <v>705</v>
      </c>
    </row>
    <row r="44" spans="1:10" x14ac:dyDescent="0.2">
      <c r="A44" s="5" t="s">
        <v>22</v>
      </c>
      <c r="B44" s="5" t="s">
        <v>52</v>
      </c>
      <c r="C44" s="14">
        <v>0.125</v>
      </c>
      <c r="D44" s="14">
        <v>0.1943</v>
      </c>
      <c r="E44" s="9">
        <f>C44*D44</f>
        <v>2.42875E-2</v>
      </c>
      <c r="F44" s="8">
        <f>B3*E44</f>
        <v>2428.75</v>
      </c>
      <c r="G44" s="14">
        <v>0.22992520939506031</v>
      </c>
      <c r="H44" s="8">
        <f>F44*G44</f>
        <v>558.43085231825273</v>
      </c>
      <c r="I44" s="15">
        <v>0.84</v>
      </c>
      <c r="J44" s="16">
        <v>1779</v>
      </c>
    </row>
    <row r="45" spans="1:10" x14ac:dyDescent="0.2">
      <c r="A45" s="5" t="s">
        <v>22</v>
      </c>
      <c r="B45" s="5" t="s">
        <v>54</v>
      </c>
      <c r="C45" s="14">
        <v>0.125</v>
      </c>
      <c r="D45" s="14">
        <v>0.17530000000000001</v>
      </c>
      <c r="E45" s="9">
        <f>C45*D45</f>
        <v>2.1912500000000001E-2</v>
      </c>
      <c r="F45" s="8">
        <f>B3*E45</f>
        <v>2191.25</v>
      </c>
      <c r="G45" s="14">
        <v>0.28158882734069929</v>
      </c>
      <c r="H45" s="8">
        <f>F45*G45</f>
        <v>617.03151791030734</v>
      </c>
      <c r="I45" s="15">
        <v>0.76</v>
      </c>
      <c r="J45" s="16">
        <v>3596</v>
      </c>
    </row>
    <row r="46" spans="1:10" x14ac:dyDescent="0.2">
      <c r="A46" s="5" t="s">
        <v>22</v>
      </c>
      <c r="B46" s="5" t="s">
        <v>55</v>
      </c>
      <c r="C46" s="14">
        <v>0.125</v>
      </c>
      <c r="D46" s="14">
        <v>0.1318</v>
      </c>
      <c r="E46" s="9">
        <f>C46*D46</f>
        <v>1.6475E-2</v>
      </c>
      <c r="F46" s="8">
        <f>B3*E46</f>
        <v>1647.5</v>
      </c>
      <c r="G46" s="14">
        <v>0.13657447491611091</v>
      </c>
      <c r="H46" s="8">
        <f>F46*G46</f>
        <v>225.00644742429273</v>
      </c>
      <c r="I46" s="15">
        <v>0.56999999999999995</v>
      </c>
      <c r="J46" s="16">
        <v>2020</v>
      </c>
    </row>
    <row r="47" spans="1:10" x14ac:dyDescent="0.2">
      <c r="A47" s="5" t="s">
        <v>22</v>
      </c>
      <c r="B47" s="5" t="s">
        <v>53</v>
      </c>
      <c r="C47" s="14">
        <v>0.125</v>
      </c>
      <c r="D47" s="14">
        <v>0.19570000000000001</v>
      </c>
      <c r="E47" s="9">
        <f>C47*D47</f>
        <v>2.4462500000000002E-2</v>
      </c>
      <c r="F47" s="8">
        <f>B3*E47</f>
        <v>2446.25</v>
      </c>
      <c r="G47" s="14">
        <v>0.29823453644037468</v>
      </c>
      <c r="H47" s="8">
        <f>F47*G47</f>
        <v>729.55623476726657</v>
      </c>
      <c r="I47" s="15">
        <v>0.85</v>
      </c>
      <c r="J47" s="16">
        <v>4579</v>
      </c>
    </row>
    <row r="49" spans="1:10" x14ac:dyDescent="0.2">
      <c r="A49" s="5" t="s">
        <v>20</v>
      </c>
      <c r="B49" s="5" t="s">
        <v>46</v>
      </c>
      <c r="C49" s="14">
        <v>0.125</v>
      </c>
      <c r="D49" s="14">
        <v>0.155</v>
      </c>
      <c r="E49" s="9">
        <f t="shared" ref="E49:E63" si="3">C49*D49</f>
        <v>1.9375E-2</v>
      </c>
      <c r="F49" s="8">
        <f>B3*E49</f>
        <v>1937.5</v>
      </c>
      <c r="G49" s="14">
        <v>0.16363886831279811</v>
      </c>
      <c r="H49" s="8">
        <f t="shared" ref="H49:H63" si="4">F49*G49</f>
        <v>317.05030735604635</v>
      </c>
      <c r="I49" s="15">
        <v>4.26</v>
      </c>
      <c r="J49" s="16">
        <v>149.09</v>
      </c>
    </row>
    <row r="50" spans="1:10" x14ac:dyDescent="0.2">
      <c r="A50" s="5" t="s">
        <v>20</v>
      </c>
      <c r="B50" s="5" t="s">
        <v>59</v>
      </c>
      <c r="C50" s="14">
        <v>0.125</v>
      </c>
      <c r="D50" s="14">
        <v>5.57E-2</v>
      </c>
      <c r="E50" s="9">
        <f t="shared" si="3"/>
        <v>6.9624999999999999E-3</v>
      </c>
      <c r="F50" s="8">
        <f>B3*E50</f>
        <v>696.25</v>
      </c>
      <c r="G50" s="14">
        <v>5.7237530744910788E-2</v>
      </c>
      <c r="H50" s="8">
        <f t="shared" si="4"/>
        <v>39.851630781144138</v>
      </c>
      <c r="I50" s="15">
        <v>1.53</v>
      </c>
      <c r="J50" s="16">
        <v>553.53</v>
      </c>
    </row>
    <row r="51" spans="1:10" x14ac:dyDescent="0.2">
      <c r="A51" s="5" t="s">
        <v>20</v>
      </c>
      <c r="B51" s="5" t="s">
        <v>49</v>
      </c>
      <c r="C51" s="14">
        <v>0.125</v>
      </c>
      <c r="D51" s="14">
        <v>3.6700000000000003E-2</v>
      </c>
      <c r="E51" s="9">
        <f t="shared" si="3"/>
        <v>4.5875000000000004E-3</v>
      </c>
      <c r="F51" s="8">
        <f>B3*E51</f>
        <v>458.75000000000006</v>
      </c>
      <c r="G51" s="14">
        <v>3.4808358551160698E-2</v>
      </c>
      <c r="H51" s="8">
        <f t="shared" si="4"/>
        <v>15.968334485344972</v>
      </c>
      <c r="I51" s="15">
        <v>1.01</v>
      </c>
      <c r="J51" s="16">
        <v>1262.53</v>
      </c>
    </row>
    <row r="52" spans="1:10" x14ac:dyDescent="0.2">
      <c r="A52" s="5" t="s">
        <v>20</v>
      </c>
      <c r="B52" s="5" t="s">
        <v>60</v>
      </c>
      <c r="C52" s="14">
        <v>0.125</v>
      </c>
      <c r="D52" s="14">
        <v>3.9699999999999999E-2</v>
      </c>
      <c r="E52" s="9">
        <f t="shared" si="3"/>
        <v>4.9624999999999999E-3</v>
      </c>
      <c r="F52" s="8">
        <f>B3*E52</f>
        <v>496.25</v>
      </c>
      <c r="G52" s="14">
        <v>4.7725084123234861E-2</v>
      </c>
      <c r="H52" s="8">
        <f t="shared" si="4"/>
        <v>23.683572996155299</v>
      </c>
      <c r="I52" s="15">
        <v>1.0900000000000001</v>
      </c>
      <c r="J52" s="16">
        <v>486.55</v>
      </c>
    </row>
    <row r="53" spans="1:10" x14ac:dyDescent="0.2">
      <c r="A53" s="5" t="s">
        <v>20</v>
      </c>
      <c r="B53" s="5" t="s">
        <v>43</v>
      </c>
      <c r="C53" s="14">
        <v>0.125</v>
      </c>
      <c r="D53" s="14">
        <v>6.7299999999999999E-2</v>
      </c>
      <c r="E53" s="9">
        <f t="shared" si="3"/>
        <v>8.4124999999999998E-3</v>
      </c>
      <c r="F53" s="8">
        <f>B3*E53</f>
        <v>841.25</v>
      </c>
      <c r="G53" s="14">
        <v>9.243382392575511E-2</v>
      </c>
      <c r="H53" s="8">
        <f t="shared" si="4"/>
        <v>77.75995437754149</v>
      </c>
      <c r="I53" s="15">
        <v>1.85</v>
      </c>
      <c r="J53" s="16">
        <v>267.04000000000002</v>
      </c>
    </row>
    <row r="54" spans="1:10" x14ac:dyDescent="0.2">
      <c r="A54" s="5" t="s">
        <v>20</v>
      </c>
      <c r="B54" s="5" t="s">
        <v>64</v>
      </c>
      <c r="C54" s="14">
        <v>0.125</v>
      </c>
      <c r="D54" s="14">
        <v>3.6700000000000003E-2</v>
      </c>
      <c r="E54" s="9">
        <f t="shared" si="3"/>
        <v>4.5875000000000004E-3</v>
      </c>
      <c r="F54" s="8">
        <f>B3*E54</f>
        <v>458.75000000000006</v>
      </c>
      <c r="G54" s="14">
        <v>3.3060293129844487E-2</v>
      </c>
      <c r="H54" s="8">
        <f t="shared" si="4"/>
        <v>15.166409473316159</v>
      </c>
      <c r="I54" s="15">
        <v>1.01</v>
      </c>
      <c r="J54" s="16">
        <v>727.1</v>
      </c>
    </row>
    <row r="55" spans="1:10" x14ac:dyDescent="0.2">
      <c r="A55" s="5" t="s">
        <v>20</v>
      </c>
      <c r="B55" s="5" t="s">
        <v>44</v>
      </c>
      <c r="C55" s="14">
        <v>0.125</v>
      </c>
      <c r="D55" s="14">
        <v>0.1139</v>
      </c>
      <c r="E55" s="9">
        <f t="shared" si="3"/>
        <v>1.42375E-2</v>
      </c>
      <c r="F55" s="8">
        <f>B3*E55</f>
        <v>1423.75</v>
      </c>
      <c r="G55" s="14">
        <v>0.2598882343822555</v>
      </c>
      <c r="H55" s="8">
        <f t="shared" si="4"/>
        <v>370.01587370173627</v>
      </c>
      <c r="I55" s="15">
        <v>3.13</v>
      </c>
      <c r="J55" s="16">
        <v>141.11000000000001</v>
      </c>
    </row>
    <row r="56" spans="1:10" x14ac:dyDescent="0.2">
      <c r="A56" s="5" t="s">
        <v>20</v>
      </c>
      <c r="B56" s="5" t="s">
        <v>56</v>
      </c>
      <c r="C56" s="14">
        <v>0.125</v>
      </c>
      <c r="D56" s="14">
        <v>9.4899999999999998E-2</v>
      </c>
      <c r="E56" s="9">
        <f t="shared" si="3"/>
        <v>1.18625E-2</v>
      </c>
      <c r="F56" s="8">
        <f>B3*E56</f>
        <v>1186.25</v>
      </c>
      <c r="G56" s="14">
        <v>0.12886538550677101</v>
      </c>
      <c r="H56" s="8">
        <f t="shared" si="4"/>
        <v>152.86656355740712</v>
      </c>
      <c r="I56" s="15">
        <v>2.61</v>
      </c>
      <c r="J56" s="16">
        <v>323.61</v>
      </c>
    </row>
    <row r="57" spans="1:10" x14ac:dyDescent="0.2">
      <c r="A57" s="5" t="s">
        <v>20</v>
      </c>
      <c r="B57" s="5" t="s">
        <v>57</v>
      </c>
      <c r="C57" s="14">
        <v>0.125</v>
      </c>
      <c r="D57" s="14">
        <v>7.9299999999999995E-2</v>
      </c>
      <c r="E57" s="9">
        <f t="shared" si="3"/>
        <v>9.9124999999999994E-3</v>
      </c>
      <c r="F57" s="8">
        <f>B3*E57</f>
        <v>991.25</v>
      </c>
      <c r="G57" s="14">
        <v>0.10417987081779111</v>
      </c>
      <c r="H57" s="8">
        <f t="shared" si="4"/>
        <v>103.26829694813543</v>
      </c>
      <c r="I57" s="15">
        <v>2.1800000000000002</v>
      </c>
      <c r="J57" s="16">
        <v>317.39999999999998</v>
      </c>
    </row>
    <row r="58" spans="1:10" x14ac:dyDescent="0.2">
      <c r="A58" s="5" t="s">
        <v>20</v>
      </c>
      <c r="B58" s="5" t="s">
        <v>62</v>
      </c>
      <c r="C58" s="14">
        <v>0.125</v>
      </c>
      <c r="D58" s="14">
        <v>5.57E-2</v>
      </c>
      <c r="E58" s="9">
        <f t="shared" si="3"/>
        <v>6.9624999999999999E-3</v>
      </c>
      <c r="F58" s="8">
        <f>B3*E58</f>
        <v>696.25</v>
      </c>
      <c r="G58" s="14">
        <v>7.5742052359749054E-2</v>
      </c>
      <c r="H58" s="8">
        <f t="shared" si="4"/>
        <v>52.735403955475277</v>
      </c>
      <c r="I58" s="15">
        <v>1.53</v>
      </c>
      <c r="J58" s="16">
        <v>763.98</v>
      </c>
    </row>
    <row r="59" spans="1:10" x14ac:dyDescent="0.2">
      <c r="A59" s="5" t="s">
        <v>20</v>
      </c>
      <c r="B59" s="5" t="s">
        <v>48</v>
      </c>
      <c r="C59" s="14">
        <v>0.125</v>
      </c>
      <c r="D59" s="14">
        <v>5.0900000000000001E-2</v>
      </c>
      <c r="E59" s="9">
        <f t="shared" si="3"/>
        <v>6.3625000000000001E-3</v>
      </c>
      <c r="F59" s="8">
        <f>B3*E59</f>
        <v>636.25</v>
      </c>
      <c r="G59" s="14">
        <v>5.6236613514713499E-2</v>
      </c>
      <c r="H59" s="8">
        <f t="shared" si="4"/>
        <v>35.78054534873646</v>
      </c>
      <c r="I59" s="15">
        <v>1.4</v>
      </c>
      <c r="J59" s="16">
        <v>735.54</v>
      </c>
    </row>
    <row r="60" spans="1:10" x14ac:dyDescent="0.2">
      <c r="A60" s="5" t="s">
        <v>20</v>
      </c>
      <c r="B60" s="5" t="s">
        <v>61</v>
      </c>
      <c r="C60" s="14">
        <v>0.125</v>
      </c>
      <c r="D60" s="14">
        <v>4.6899999999999997E-2</v>
      </c>
      <c r="E60" s="9">
        <f t="shared" si="3"/>
        <v>5.8624999999999997E-3</v>
      </c>
      <c r="F60" s="8">
        <f>B3*E60</f>
        <v>586.25</v>
      </c>
      <c r="G60" s="14">
        <v>3.5871851794559401E-2</v>
      </c>
      <c r="H60" s="8">
        <f t="shared" si="4"/>
        <v>21.029873114560448</v>
      </c>
      <c r="I60" s="15">
        <v>1.29</v>
      </c>
      <c r="J60" s="16">
        <v>592.92999999999995</v>
      </c>
    </row>
    <row r="61" spans="1:10" x14ac:dyDescent="0.2">
      <c r="A61" s="5" t="s">
        <v>20</v>
      </c>
      <c r="B61" s="5" t="s">
        <v>45</v>
      </c>
      <c r="C61" s="14">
        <v>0.125</v>
      </c>
      <c r="D61" s="14">
        <v>7.8899999999999998E-2</v>
      </c>
      <c r="E61" s="9">
        <f t="shared" si="3"/>
        <v>9.8624999999999997E-3</v>
      </c>
      <c r="F61" s="8">
        <f>B3*E61</f>
        <v>986.25</v>
      </c>
      <c r="G61" s="14">
        <v>0.1188260555884741</v>
      </c>
      <c r="H61" s="8">
        <f t="shared" si="4"/>
        <v>117.19219732413258</v>
      </c>
      <c r="I61" s="15">
        <v>2.17</v>
      </c>
      <c r="J61" s="16">
        <v>256.2</v>
      </c>
    </row>
    <row r="62" spans="1:10" x14ac:dyDescent="0.2">
      <c r="A62" s="5" t="s">
        <v>20</v>
      </c>
      <c r="B62" s="5" t="s">
        <v>58</v>
      </c>
      <c r="C62" s="14">
        <v>0.125</v>
      </c>
      <c r="D62" s="14">
        <v>5.3099999999999987E-2</v>
      </c>
      <c r="E62" s="9">
        <f t="shared" si="3"/>
        <v>6.6374999999999984E-3</v>
      </c>
      <c r="F62" s="8">
        <f>B3*E62</f>
        <v>663.74999999999989</v>
      </c>
      <c r="G62" s="14">
        <v>6.1130900343341697E-2</v>
      </c>
      <c r="H62" s="8">
        <f t="shared" si="4"/>
        <v>40.575635102893045</v>
      </c>
      <c r="I62" s="15">
        <v>1.46</v>
      </c>
      <c r="J62" s="16">
        <v>495.84</v>
      </c>
    </row>
    <row r="63" spans="1:10" x14ac:dyDescent="0.2">
      <c r="A63" s="5" t="s">
        <v>20</v>
      </c>
      <c r="B63" s="5" t="s">
        <v>63</v>
      </c>
      <c r="C63" s="14">
        <v>0.125</v>
      </c>
      <c r="D63" s="14">
        <v>3.5299999999999998E-2</v>
      </c>
      <c r="E63" s="9">
        <f t="shared" si="3"/>
        <v>4.4124999999999998E-3</v>
      </c>
      <c r="F63" s="8">
        <f>B3*E63</f>
        <v>441.25</v>
      </c>
      <c r="G63" s="14">
        <v>4.0976469350020722E-2</v>
      </c>
      <c r="H63" s="8">
        <f t="shared" si="4"/>
        <v>18.080867100696643</v>
      </c>
      <c r="I63" s="15">
        <v>0.97</v>
      </c>
      <c r="J63" s="16">
        <v>674.92</v>
      </c>
    </row>
    <row r="65" spans="1:10" x14ac:dyDescent="0.2">
      <c r="A65" s="5" t="s">
        <v>19</v>
      </c>
      <c r="B65" s="5" t="s">
        <v>67</v>
      </c>
      <c r="C65" s="14">
        <v>0.125</v>
      </c>
      <c r="D65" s="14">
        <v>0.24479999999999999</v>
      </c>
      <c r="E65" s="9">
        <f t="shared" ref="E65:E70" si="5">C65*D65</f>
        <v>3.0599999999999999E-2</v>
      </c>
      <c r="F65" s="8">
        <f>B3*E65</f>
        <v>3060</v>
      </c>
      <c r="G65" s="14">
        <v>0.17929380490060101</v>
      </c>
      <c r="H65" s="8">
        <f t="shared" ref="H65:H70" si="6">F65*G65</f>
        <v>548.63904299583908</v>
      </c>
      <c r="I65" s="15">
        <v>1.44</v>
      </c>
      <c r="J65" s="16">
        <v>19.28</v>
      </c>
    </row>
    <row r="66" spans="1:10" x14ac:dyDescent="0.2">
      <c r="A66" s="5" t="s">
        <v>19</v>
      </c>
      <c r="B66" s="5" t="s">
        <v>69</v>
      </c>
      <c r="C66" s="14">
        <v>0.125</v>
      </c>
      <c r="D66" s="14">
        <v>0.1429</v>
      </c>
      <c r="E66" s="9">
        <f t="shared" si="5"/>
        <v>1.78625E-2</v>
      </c>
      <c r="F66" s="8">
        <f>B3*E66</f>
        <v>1786.25</v>
      </c>
      <c r="G66" s="14">
        <v>0.12592523808934869</v>
      </c>
      <c r="H66" s="8">
        <f t="shared" si="6"/>
        <v>224.93395653709911</v>
      </c>
      <c r="I66" s="15">
        <v>0.84</v>
      </c>
      <c r="J66" s="16">
        <v>23.23</v>
      </c>
    </row>
    <row r="67" spans="1:10" x14ac:dyDescent="0.2">
      <c r="A67" s="5" t="s">
        <v>19</v>
      </c>
      <c r="B67" s="5" t="s">
        <v>52</v>
      </c>
      <c r="C67" s="14">
        <v>0.125</v>
      </c>
      <c r="D67" s="14">
        <v>0.153</v>
      </c>
      <c r="E67" s="9">
        <f t="shared" si="5"/>
        <v>1.9125E-2</v>
      </c>
      <c r="F67" s="8">
        <f>B3*E67</f>
        <v>1912.5</v>
      </c>
      <c r="G67" s="14">
        <v>0.10434506088802779</v>
      </c>
      <c r="H67" s="8">
        <f t="shared" si="6"/>
        <v>199.55992894835316</v>
      </c>
      <c r="I67" s="15">
        <v>0.9</v>
      </c>
      <c r="J67" s="16">
        <v>17.09</v>
      </c>
    </row>
    <row r="68" spans="1:10" x14ac:dyDescent="0.2">
      <c r="A68" s="5" t="s">
        <v>19</v>
      </c>
      <c r="B68" s="5" t="s">
        <v>68</v>
      </c>
      <c r="C68" s="14">
        <v>0.125</v>
      </c>
      <c r="D68" s="14">
        <v>0.16220000000000001</v>
      </c>
      <c r="E68" s="9">
        <f t="shared" si="5"/>
        <v>2.0275000000000001E-2</v>
      </c>
      <c r="F68" s="8">
        <f>B3*E68</f>
        <v>2027.5000000000002</v>
      </c>
      <c r="G68" s="14">
        <v>8.1145476585578274E-2</v>
      </c>
      <c r="H68" s="8">
        <f t="shared" si="6"/>
        <v>164.52245377725998</v>
      </c>
      <c r="I68" s="15">
        <v>0.95</v>
      </c>
      <c r="J68" s="16">
        <v>20.25</v>
      </c>
    </row>
    <row r="69" spans="1:10" x14ac:dyDescent="0.2">
      <c r="A69" s="5" t="s">
        <v>19</v>
      </c>
      <c r="B69" s="5" t="s">
        <v>66</v>
      </c>
      <c r="C69" s="14">
        <v>0.125</v>
      </c>
      <c r="D69" s="14">
        <v>0.14369999999999999</v>
      </c>
      <c r="E69" s="9">
        <f t="shared" si="5"/>
        <v>1.7962499999999999E-2</v>
      </c>
      <c r="F69" s="8">
        <f>B3*E69</f>
        <v>1796.25</v>
      </c>
      <c r="G69" s="14">
        <v>0.1221737101234532</v>
      </c>
      <c r="H69" s="8">
        <f t="shared" si="6"/>
        <v>219.4545268092528</v>
      </c>
      <c r="I69" s="15">
        <v>0.85</v>
      </c>
      <c r="J69" s="16">
        <v>16.829999999999998</v>
      </c>
    </row>
    <row r="70" spans="1:10" x14ac:dyDescent="0.2">
      <c r="A70" s="5" t="s">
        <v>19</v>
      </c>
      <c r="B70" s="5" t="s">
        <v>53</v>
      </c>
      <c r="C70" s="14">
        <v>0.125</v>
      </c>
      <c r="D70" s="14">
        <v>0.15329999999999999</v>
      </c>
      <c r="E70" s="9">
        <f t="shared" si="5"/>
        <v>1.9162499999999999E-2</v>
      </c>
      <c r="F70" s="8">
        <f>B3*E70</f>
        <v>1916.25</v>
      </c>
      <c r="G70" s="14">
        <v>0.31989785882370081</v>
      </c>
      <c r="H70" s="8">
        <f t="shared" si="6"/>
        <v>613.00427197091665</v>
      </c>
      <c r="I70" s="15">
        <v>0.9</v>
      </c>
      <c r="J70" s="16">
        <v>6.34</v>
      </c>
    </row>
    <row r="72" spans="1:10" x14ac:dyDescent="0.2">
      <c r="A72" s="5" t="s">
        <v>23</v>
      </c>
      <c r="B72" s="5" t="s">
        <v>70</v>
      </c>
      <c r="C72" s="14">
        <v>0.125</v>
      </c>
      <c r="D72" s="14">
        <v>1</v>
      </c>
      <c r="E72" s="9">
        <f>C72*D72</f>
        <v>0.125</v>
      </c>
      <c r="F72" s="8">
        <f>B3*E72</f>
        <v>12500</v>
      </c>
      <c r="G72" s="14">
        <v>0.2445482895588334</v>
      </c>
      <c r="H72" s="8">
        <f>F72*G72</f>
        <v>3056.8536194854173</v>
      </c>
      <c r="I72" s="15">
        <v>2.71</v>
      </c>
      <c r="J72" s="16">
        <v>410</v>
      </c>
    </row>
    <row r="74" spans="1:10" x14ac:dyDescent="0.2">
      <c r="A74" s="10" t="s">
        <v>24</v>
      </c>
      <c r="B74" s="17"/>
      <c r="C74" s="17"/>
      <c r="D74" s="17"/>
      <c r="E74" s="11">
        <f>SUMIF(A25:A72,"&lt;&gt;",E25:E72)</f>
        <v>0.99998750000000003</v>
      </c>
      <c r="F74" s="12">
        <f>SUMIF(A25:A72,"&lt;&gt;",F25:F72)</f>
        <v>99998.75</v>
      </c>
      <c r="G74" s="17"/>
      <c r="H74" s="12">
        <f>SUMIF(A25:A72,"&lt;&gt;",H25:H72)</f>
        <v>23230.980985972521</v>
      </c>
      <c r="I74" s="17"/>
      <c r="J74" s="17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4"/>
  <sheetViews>
    <sheetView workbookViewId="0">
      <selection activeCell="A5" sqref="A5:D7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26" t="s">
        <v>84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6" x14ac:dyDescent="0.2">
      <c r="A3" s="18" t="s">
        <v>72</v>
      </c>
      <c r="B3" s="19">
        <f>'Portfolio Allocation'!B3</f>
        <v>100000</v>
      </c>
    </row>
    <row r="5" spans="1:10" ht="16" x14ac:dyDescent="0.2">
      <c r="A5" s="33" t="s">
        <v>3</v>
      </c>
      <c r="B5" s="28"/>
      <c r="C5" s="28"/>
      <c r="D5" s="28"/>
    </row>
    <row r="6" spans="1:10" x14ac:dyDescent="0.2">
      <c r="A6" s="34" t="s">
        <v>73</v>
      </c>
      <c r="B6" s="12">
        <f>E20</f>
        <v>25153.998162879499</v>
      </c>
      <c r="C6" s="5"/>
      <c r="D6" s="5"/>
    </row>
    <row r="7" spans="1:10" x14ac:dyDescent="0.2">
      <c r="A7" s="34" t="s">
        <v>74</v>
      </c>
      <c r="B7" s="11">
        <f>IF(B3&gt;0,B6/B3,0)</f>
        <v>0.25153998162879498</v>
      </c>
      <c r="C7" s="5"/>
      <c r="D7" s="5"/>
    </row>
    <row r="10" spans="1:10" ht="16" x14ac:dyDescent="0.2">
      <c r="A10" s="25" t="s">
        <v>75</v>
      </c>
      <c r="B10" s="23"/>
      <c r="C10" s="23"/>
      <c r="D10" s="23"/>
      <c r="E10" s="23"/>
      <c r="F10" s="23"/>
    </row>
    <row r="11" spans="1:10" x14ac:dyDescent="0.2">
      <c r="A11" s="20" t="s">
        <v>10</v>
      </c>
      <c r="B11" s="20" t="s">
        <v>11</v>
      </c>
      <c r="C11" s="20" t="s">
        <v>27</v>
      </c>
      <c r="D11" s="20" t="s">
        <v>13</v>
      </c>
      <c r="E11" s="20" t="s">
        <v>76</v>
      </c>
      <c r="F11" s="20" t="s">
        <v>15</v>
      </c>
    </row>
    <row r="12" spans="1:10" x14ac:dyDescent="0.2">
      <c r="A12" s="5" t="s">
        <v>16</v>
      </c>
      <c r="B12" s="6">
        <v>2</v>
      </c>
      <c r="C12" s="14">
        <v>0.125</v>
      </c>
      <c r="D12" s="8">
        <f>B3*C12</f>
        <v>12500</v>
      </c>
      <c r="E12" s="8">
        <f>SUMIF(A25:A72,A12,H25:H72)</f>
        <v>3803.4015269478177</v>
      </c>
      <c r="F12" s="9">
        <f t="shared" ref="F12:F20" si="0">IF(D12&gt;0,E12/D12,0)</f>
        <v>0.30427212215582544</v>
      </c>
    </row>
    <row r="13" spans="1:10" x14ac:dyDescent="0.2">
      <c r="A13" s="5" t="s">
        <v>17</v>
      </c>
      <c r="B13" s="6">
        <v>2</v>
      </c>
      <c r="C13" s="14">
        <v>0.125</v>
      </c>
      <c r="D13" s="8">
        <f>B3*C13</f>
        <v>12500</v>
      </c>
      <c r="E13" s="8">
        <f>SUMIF(A25:A72,A13,H25:H72)</f>
        <v>4118.3182597416453</v>
      </c>
      <c r="F13" s="9">
        <f t="shared" si="0"/>
        <v>0.32946546077933164</v>
      </c>
    </row>
    <row r="14" spans="1:10" x14ac:dyDescent="0.2">
      <c r="A14" s="5" t="s">
        <v>18</v>
      </c>
      <c r="B14" s="6">
        <v>8</v>
      </c>
      <c r="C14" s="14">
        <v>0.125</v>
      </c>
      <c r="D14" s="8">
        <f>B3*C14</f>
        <v>12500</v>
      </c>
      <c r="E14" s="8">
        <f>SUMIF(A25:A72,A14,H25:H72)</f>
        <v>4479.6629008235759</v>
      </c>
      <c r="F14" s="9">
        <f t="shared" si="0"/>
        <v>0.35837303206588605</v>
      </c>
    </row>
    <row r="15" spans="1:10" x14ac:dyDescent="0.2">
      <c r="A15" s="5" t="s">
        <v>19</v>
      </c>
      <c r="B15" s="6">
        <v>6</v>
      </c>
      <c r="C15" s="14">
        <v>0.125</v>
      </c>
      <c r="D15" s="8">
        <f>B3*C15</f>
        <v>12500</v>
      </c>
      <c r="E15" s="8">
        <f>SUMIF(A25:A72,A15,H25:H72)</f>
        <v>2446.7683609138958</v>
      </c>
      <c r="F15" s="9">
        <f t="shared" si="0"/>
        <v>0.19574146887311167</v>
      </c>
    </row>
    <row r="16" spans="1:10" x14ac:dyDescent="0.2">
      <c r="A16" s="5" t="s">
        <v>20</v>
      </c>
      <c r="B16" s="6">
        <v>15</v>
      </c>
      <c r="C16" s="14">
        <v>0.125</v>
      </c>
      <c r="D16" s="8">
        <f>B3*C16</f>
        <v>12500</v>
      </c>
      <c r="E16" s="8">
        <f>SUMIF(A25:A72,A16,H25:H72)</f>
        <v>1865.062908131998</v>
      </c>
      <c r="F16" s="9">
        <f t="shared" si="0"/>
        <v>0.14920503265055984</v>
      </c>
    </row>
    <row r="17" spans="1:10" x14ac:dyDescent="0.2">
      <c r="A17" s="5" t="s">
        <v>21</v>
      </c>
      <c r="B17" s="6">
        <v>2</v>
      </c>
      <c r="C17" s="14">
        <v>0.125</v>
      </c>
      <c r="D17" s="8">
        <f>B3*C17</f>
        <v>12500</v>
      </c>
      <c r="E17" s="8">
        <f>SUMIF(A25:A72,A17,H25:H72)</f>
        <v>2564.5203334377829</v>
      </c>
      <c r="F17" s="9">
        <f t="shared" si="0"/>
        <v>0.20516162667502263</v>
      </c>
    </row>
    <row r="18" spans="1:10" x14ac:dyDescent="0.2">
      <c r="A18" s="5" t="s">
        <v>22</v>
      </c>
      <c r="B18" s="6">
        <v>5</v>
      </c>
      <c r="C18" s="14">
        <v>0.125</v>
      </c>
      <c r="D18" s="8">
        <f>B3*C18</f>
        <v>12500</v>
      </c>
      <c r="E18" s="8">
        <f>SUMIF(A25:A72,A18,H25:H72)</f>
        <v>2819.4102533973673</v>
      </c>
      <c r="F18" s="9">
        <f t="shared" si="0"/>
        <v>0.22555282027178938</v>
      </c>
    </row>
    <row r="19" spans="1:10" x14ac:dyDescent="0.2">
      <c r="A19" s="5" t="s">
        <v>23</v>
      </c>
      <c r="B19" s="6">
        <v>1</v>
      </c>
      <c r="C19" s="14">
        <v>0.125</v>
      </c>
      <c r="D19" s="8">
        <f>B3*C19</f>
        <v>12500</v>
      </c>
      <c r="E19" s="8">
        <f>SUMIF(A25:A72,A19,H25:H72)</f>
        <v>3056.8536194854173</v>
      </c>
      <c r="F19" s="9">
        <f t="shared" si="0"/>
        <v>0.2445482895588334</v>
      </c>
    </row>
    <row r="20" spans="1:10" x14ac:dyDescent="0.2">
      <c r="A20" s="10" t="s">
        <v>24</v>
      </c>
      <c r="B20" s="10">
        <f>SUM(B12:B19)</f>
        <v>41</v>
      </c>
      <c r="C20" s="11">
        <f>SUM(C12:C19)</f>
        <v>1</v>
      </c>
      <c r="D20" s="12">
        <f>SUM(D12:D19)</f>
        <v>100000</v>
      </c>
      <c r="E20" s="12">
        <f>SUM(E12:E19)</f>
        <v>25153.998162879499</v>
      </c>
      <c r="F20" s="11">
        <f t="shared" si="0"/>
        <v>0.25153998162879498</v>
      </c>
    </row>
    <row r="23" spans="1:10" ht="16" x14ac:dyDescent="0.2">
      <c r="A23" s="25" t="s">
        <v>77</v>
      </c>
      <c r="B23" s="23"/>
      <c r="C23" s="23"/>
      <c r="D23" s="23"/>
      <c r="E23" s="23"/>
      <c r="F23" s="23"/>
      <c r="G23" s="23"/>
      <c r="H23" s="23"/>
      <c r="I23" s="23"/>
      <c r="J23" s="23"/>
    </row>
    <row r="24" spans="1:10" x14ac:dyDescent="0.2">
      <c r="A24" s="21" t="s">
        <v>10</v>
      </c>
      <c r="B24" s="21" t="s">
        <v>26</v>
      </c>
      <c r="C24" s="21" t="s">
        <v>78</v>
      </c>
      <c r="D24" s="21" t="s">
        <v>79</v>
      </c>
      <c r="E24" s="21" t="s">
        <v>80</v>
      </c>
      <c r="F24" s="21" t="s">
        <v>13</v>
      </c>
      <c r="G24" s="21" t="s">
        <v>30</v>
      </c>
      <c r="H24" s="21" t="s">
        <v>14</v>
      </c>
      <c r="I24" s="21" t="s">
        <v>35</v>
      </c>
      <c r="J24" s="21" t="s">
        <v>81</v>
      </c>
    </row>
    <row r="25" spans="1:10" x14ac:dyDescent="0.2">
      <c r="A25" s="5" t="s">
        <v>16</v>
      </c>
      <c r="B25" s="5" t="s">
        <v>34</v>
      </c>
      <c r="C25" s="14">
        <v>0.125</v>
      </c>
      <c r="D25" s="14">
        <v>0.45739999999999997</v>
      </c>
      <c r="E25" s="9">
        <f>C25*D25</f>
        <v>5.7174999999999997E-2</v>
      </c>
      <c r="F25" s="8">
        <f>B3*E25</f>
        <v>5717.5</v>
      </c>
      <c r="G25" s="14">
        <v>0.2832023821672856</v>
      </c>
      <c r="H25" s="8">
        <f>F25*G25</f>
        <v>1619.2096200414555</v>
      </c>
      <c r="I25" s="15">
        <v>1.53</v>
      </c>
      <c r="J25" s="16">
        <v>752</v>
      </c>
    </row>
    <row r="26" spans="1:10" x14ac:dyDescent="0.2">
      <c r="A26" s="5" t="s">
        <v>16</v>
      </c>
      <c r="B26" s="5" t="s">
        <v>36</v>
      </c>
      <c r="C26" s="14">
        <v>0.125</v>
      </c>
      <c r="D26" s="14">
        <v>0.54259999999999997</v>
      </c>
      <c r="E26" s="9">
        <f>C26*D26</f>
        <v>6.7824999999999996E-2</v>
      </c>
      <c r="F26" s="8">
        <f>B3*E26</f>
        <v>6782.5</v>
      </c>
      <c r="G26" s="14">
        <v>0.3220334547595079</v>
      </c>
      <c r="H26" s="8">
        <f>F26*G26</f>
        <v>2184.1919069063624</v>
      </c>
      <c r="I26" s="15">
        <v>1.4</v>
      </c>
      <c r="J26" s="16">
        <v>580</v>
      </c>
    </row>
    <row r="28" spans="1:10" x14ac:dyDescent="0.2">
      <c r="A28" s="5" t="s">
        <v>21</v>
      </c>
      <c r="B28" s="5" t="s">
        <v>37</v>
      </c>
      <c r="C28" s="14">
        <v>0.125</v>
      </c>
      <c r="D28" s="14">
        <v>0.63479999999999992</v>
      </c>
      <c r="E28" s="9">
        <f>C28*D28</f>
        <v>7.934999999999999E-2</v>
      </c>
      <c r="F28" s="8">
        <f>B3*E28</f>
        <v>7934.9999999999991</v>
      </c>
      <c r="G28" s="14">
        <v>0.1575684854596989</v>
      </c>
      <c r="H28" s="8">
        <f>F28*G28</f>
        <v>1250.3059321227106</v>
      </c>
      <c r="I28" s="15">
        <v>5.77</v>
      </c>
      <c r="J28" s="16">
        <v>3319</v>
      </c>
    </row>
    <row r="29" spans="1:10" x14ac:dyDescent="0.2">
      <c r="A29" s="5" t="s">
        <v>21</v>
      </c>
      <c r="B29" s="5" t="s">
        <v>39</v>
      </c>
      <c r="C29" s="14">
        <v>0.125</v>
      </c>
      <c r="D29" s="14">
        <v>0.36520000000000002</v>
      </c>
      <c r="E29" s="9">
        <f>C29*D29</f>
        <v>4.5650000000000003E-2</v>
      </c>
      <c r="F29" s="8">
        <f>B3*E29</f>
        <v>4565</v>
      </c>
      <c r="G29" s="14">
        <v>0.28788924453780329</v>
      </c>
      <c r="H29" s="8">
        <f>F29*G29</f>
        <v>1314.2144013150721</v>
      </c>
      <c r="I29" s="15">
        <v>2</v>
      </c>
      <c r="J29" s="16">
        <v>6752</v>
      </c>
    </row>
    <row r="31" spans="1:10" x14ac:dyDescent="0.2">
      <c r="A31" s="5" t="s">
        <v>17</v>
      </c>
      <c r="B31" s="5" t="s">
        <v>40</v>
      </c>
      <c r="C31" s="14">
        <v>0.125</v>
      </c>
      <c r="D31" s="14">
        <v>0.69379999999999997</v>
      </c>
      <c r="E31" s="9">
        <f>C31*D31</f>
        <v>8.6724999999999997E-2</v>
      </c>
      <c r="F31" s="8">
        <f>B3*E31</f>
        <v>8672.5</v>
      </c>
      <c r="G31" s="14">
        <v>0.35841800574389149</v>
      </c>
      <c r="H31" s="8">
        <f>F31*G31</f>
        <v>3108.380154813899</v>
      </c>
      <c r="I31" s="15">
        <v>1.26</v>
      </c>
      <c r="J31" s="16">
        <v>556</v>
      </c>
    </row>
    <row r="32" spans="1:10" x14ac:dyDescent="0.2">
      <c r="A32" s="5" t="s">
        <v>17</v>
      </c>
      <c r="B32" s="5" t="s">
        <v>41</v>
      </c>
      <c r="C32" s="14">
        <v>0.125</v>
      </c>
      <c r="D32" s="14">
        <v>0.30620000000000003</v>
      </c>
      <c r="E32" s="9">
        <f>C32*D32</f>
        <v>3.8275000000000003E-2</v>
      </c>
      <c r="F32" s="8">
        <f>B3*E32</f>
        <v>3827.5000000000005</v>
      </c>
      <c r="G32" s="14">
        <v>0.26386364596414019</v>
      </c>
      <c r="H32" s="8">
        <f>F32*G32</f>
        <v>1009.9381049277467</v>
      </c>
      <c r="I32" s="15">
        <v>0.85</v>
      </c>
      <c r="J32" s="16">
        <v>2860</v>
      </c>
    </row>
    <row r="34" spans="1:10" x14ac:dyDescent="0.2">
      <c r="A34" s="5" t="s">
        <v>18</v>
      </c>
      <c r="B34" s="5" t="s">
        <v>47</v>
      </c>
      <c r="C34" s="14">
        <v>0.125</v>
      </c>
      <c r="D34" s="14">
        <v>6.3099999999999989E-2</v>
      </c>
      <c r="E34" s="9">
        <f t="shared" ref="E34:E41" si="1">C34*D34</f>
        <v>7.8874999999999987E-3</v>
      </c>
      <c r="F34" s="8">
        <f>B3*E34</f>
        <v>788.74999999999989</v>
      </c>
      <c r="G34" s="14">
        <v>0.1223303009975288</v>
      </c>
      <c r="H34" s="8">
        <f t="shared" ref="H34:H41" si="2">F34*G34</f>
        <v>96.488024911800821</v>
      </c>
      <c r="I34" s="15">
        <v>3.27</v>
      </c>
      <c r="J34" s="16">
        <v>289.60000000000002</v>
      </c>
    </row>
    <row r="35" spans="1:10" x14ac:dyDescent="0.2">
      <c r="A35" s="5" t="s">
        <v>18</v>
      </c>
      <c r="B35" s="5" t="s">
        <v>46</v>
      </c>
      <c r="C35" s="14">
        <v>0.125</v>
      </c>
      <c r="D35" s="14">
        <v>9.4600000000000004E-2</v>
      </c>
      <c r="E35" s="9">
        <f t="shared" si="1"/>
        <v>1.1825E-2</v>
      </c>
      <c r="F35" s="8">
        <f>B3*E35</f>
        <v>1182.5</v>
      </c>
      <c r="G35" s="14">
        <v>0.36557983602231447</v>
      </c>
      <c r="H35" s="8">
        <f t="shared" si="2"/>
        <v>432.29815609638689</v>
      </c>
      <c r="I35" s="15">
        <v>7.78</v>
      </c>
      <c r="J35" s="16">
        <v>459.6</v>
      </c>
    </row>
    <row r="36" spans="1:10" x14ac:dyDescent="0.2">
      <c r="A36" s="5" t="s">
        <v>18</v>
      </c>
      <c r="B36" s="5" t="s">
        <v>49</v>
      </c>
      <c r="C36" s="14">
        <v>0.125</v>
      </c>
      <c r="D36" s="14">
        <v>3.7999999999999999E-2</v>
      </c>
      <c r="E36" s="9">
        <f t="shared" si="1"/>
        <v>4.7499999999999999E-3</v>
      </c>
      <c r="F36" s="8">
        <f>B3*E36</f>
        <v>475</v>
      </c>
      <c r="G36" s="14">
        <v>0.1701591411339754</v>
      </c>
      <c r="H36" s="8">
        <f t="shared" si="2"/>
        <v>80.82559203863832</v>
      </c>
      <c r="I36" s="15">
        <v>5.29</v>
      </c>
      <c r="J36" s="16">
        <v>778</v>
      </c>
    </row>
    <row r="37" spans="1:10" x14ac:dyDescent="0.2">
      <c r="A37" s="5" t="s">
        <v>18</v>
      </c>
      <c r="B37" s="5" t="s">
        <v>43</v>
      </c>
      <c r="C37" s="14">
        <v>0.125</v>
      </c>
      <c r="D37" s="14">
        <v>0.25309999999999999</v>
      </c>
      <c r="E37" s="9">
        <f t="shared" si="1"/>
        <v>3.1637499999999999E-2</v>
      </c>
      <c r="F37" s="8">
        <f>B3*E37</f>
        <v>3163.75</v>
      </c>
      <c r="G37" s="14">
        <v>0.47127271300184448</v>
      </c>
      <c r="H37" s="8">
        <f t="shared" si="2"/>
        <v>1490.9890457595855</v>
      </c>
      <c r="I37" s="15">
        <v>5.26</v>
      </c>
      <c r="J37" s="16">
        <v>116.2</v>
      </c>
    </row>
    <row r="38" spans="1:10" x14ac:dyDescent="0.2">
      <c r="A38" s="5" t="s">
        <v>18</v>
      </c>
      <c r="B38" s="5" t="s">
        <v>42</v>
      </c>
      <c r="C38" s="14">
        <v>0.125</v>
      </c>
      <c r="D38" s="14">
        <v>0.27110000000000001</v>
      </c>
      <c r="E38" s="9">
        <f t="shared" si="1"/>
        <v>3.3887500000000001E-2</v>
      </c>
      <c r="F38" s="8">
        <f>B3*E38</f>
        <v>3388.75</v>
      </c>
      <c r="G38" s="14">
        <v>0.44153906110968588</v>
      </c>
      <c r="H38" s="8">
        <f t="shared" si="2"/>
        <v>1496.2654933354481</v>
      </c>
      <c r="I38" s="15">
        <v>4.5199999999999996</v>
      </c>
      <c r="J38" s="16">
        <v>93.2</v>
      </c>
    </row>
    <row r="39" spans="1:10" x14ac:dyDescent="0.2">
      <c r="A39" s="5" t="s">
        <v>18</v>
      </c>
      <c r="B39" s="5" t="s">
        <v>44</v>
      </c>
      <c r="C39" s="14">
        <v>0.125</v>
      </c>
      <c r="D39" s="14">
        <v>0.12859999999999999</v>
      </c>
      <c r="E39" s="9">
        <f t="shared" si="1"/>
        <v>1.6074999999999999E-2</v>
      </c>
      <c r="F39" s="8">
        <f>B3*E39</f>
        <v>1607.5</v>
      </c>
      <c r="G39" s="14">
        <v>0.27756887439903111</v>
      </c>
      <c r="H39" s="8">
        <f t="shared" si="2"/>
        <v>446.19196559644251</v>
      </c>
      <c r="I39" s="15">
        <v>3.56</v>
      </c>
      <c r="J39" s="16">
        <v>154.80000000000001</v>
      </c>
    </row>
    <row r="40" spans="1:10" x14ac:dyDescent="0.2">
      <c r="A40" s="5" t="s">
        <v>18</v>
      </c>
      <c r="B40" s="5" t="s">
        <v>48</v>
      </c>
      <c r="C40" s="14">
        <v>0.125</v>
      </c>
      <c r="D40" s="14">
        <v>3.8399999999999997E-2</v>
      </c>
      <c r="E40" s="9">
        <f t="shared" si="1"/>
        <v>4.7999999999999996E-3</v>
      </c>
      <c r="F40" s="8">
        <f>B3*E40</f>
        <v>479.99999999999994</v>
      </c>
      <c r="G40" s="14">
        <v>0.14789904989094621</v>
      </c>
      <c r="H40" s="8">
        <f t="shared" si="2"/>
        <v>70.991543947654179</v>
      </c>
      <c r="I40" s="15">
        <v>2.8</v>
      </c>
      <c r="J40" s="16">
        <v>408.1</v>
      </c>
    </row>
    <row r="41" spans="1:10" x14ac:dyDescent="0.2">
      <c r="A41" s="5" t="s">
        <v>18</v>
      </c>
      <c r="B41" s="5" t="s">
        <v>45</v>
      </c>
      <c r="C41" s="14">
        <v>0.125</v>
      </c>
      <c r="D41" s="14">
        <v>0.113</v>
      </c>
      <c r="E41" s="9">
        <f t="shared" si="1"/>
        <v>1.4125E-2</v>
      </c>
      <c r="F41" s="8">
        <f>B3*E41</f>
        <v>1412.5</v>
      </c>
      <c r="G41" s="14">
        <v>0.25884111797353621</v>
      </c>
      <c r="H41" s="8">
        <f t="shared" si="2"/>
        <v>365.61307913761988</v>
      </c>
      <c r="I41" s="15">
        <v>7.21</v>
      </c>
      <c r="J41" s="16">
        <v>356.6</v>
      </c>
    </row>
    <row r="43" spans="1:10" x14ac:dyDescent="0.2">
      <c r="A43" s="5" t="s">
        <v>22</v>
      </c>
      <c r="B43" s="5" t="s">
        <v>50</v>
      </c>
      <c r="C43" s="14">
        <v>0.125</v>
      </c>
      <c r="D43" s="14">
        <v>0.31719999999999998</v>
      </c>
      <c r="E43" s="9">
        <f>C43*D43</f>
        <v>3.9649999999999998E-2</v>
      </c>
      <c r="F43" s="8">
        <f>B3*E43</f>
        <v>3965</v>
      </c>
      <c r="G43" s="14">
        <v>0.20181423695599979</v>
      </c>
      <c r="H43" s="8">
        <f>F43*G43</f>
        <v>800.19344953053917</v>
      </c>
      <c r="I43" s="15">
        <v>1.31</v>
      </c>
      <c r="J43" s="16">
        <v>705</v>
      </c>
    </row>
    <row r="44" spans="1:10" x14ac:dyDescent="0.2">
      <c r="A44" s="5" t="s">
        <v>22</v>
      </c>
      <c r="B44" s="5" t="s">
        <v>52</v>
      </c>
      <c r="C44" s="14">
        <v>0.125</v>
      </c>
      <c r="D44" s="14">
        <v>0.17069999999999999</v>
      </c>
      <c r="E44" s="9">
        <f>C44*D44</f>
        <v>2.1337499999999999E-2</v>
      </c>
      <c r="F44" s="8">
        <f>B3*E44</f>
        <v>2133.75</v>
      </c>
      <c r="G44" s="14">
        <v>0.22992520939506031</v>
      </c>
      <c r="H44" s="8">
        <f>F44*G44</f>
        <v>490.60291554670994</v>
      </c>
      <c r="I44" s="15">
        <v>0.84</v>
      </c>
      <c r="J44" s="16">
        <v>1779</v>
      </c>
    </row>
    <row r="45" spans="1:10" x14ac:dyDescent="0.2">
      <c r="A45" s="5" t="s">
        <v>22</v>
      </c>
      <c r="B45" s="5" t="s">
        <v>54</v>
      </c>
      <c r="C45" s="14">
        <v>0.125</v>
      </c>
      <c r="D45" s="14">
        <v>0.17069999999999999</v>
      </c>
      <c r="E45" s="9">
        <f>C45*D45</f>
        <v>2.1337499999999999E-2</v>
      </c>
      <c r="F45" s="8">
        <f>B3*E45</f>
        <v>2133.75</v>
      </c>
      <c r="G45" s="14">
        <v>0.28158882734069929</v>
      </c>
      <c r="H45" s="8">
        <f>F45*G45</f>
        <v>600.84016033821706</v>
      </c>
      <c r="I45" s="15">
        <v>0.76</v>
      </c>
      <c r="J45" s="16">
        <v>3596</v>
      </c>
    </row>
    <row r="46" spans="1:10" x14ac:dyDescent="0.2">
      <c r="A46" s="5" t="s">
        <v>22</v>
      </c>
      <c r="B46" s="5" t="s">
        <v>55</v>
      </c>
      <c r="C46" s="14">
        <v>0.125</v>
      </c>
      <c r="D46" s="14">
        <v>0.17069999999999999</v>
      </c>
      <c r="E46" s="9">
        <f>C46*D46</f>
        <v>2.1337499999999999E-2</v>
      </c>
      <c r="F46" s="8">
        <f>B3*E46</f>
        <v>2133.75</v>
      </c>
      <c r="G46" s="14">
        <v>0.13657447491611091</v>
      </c>
      <c r="H46" s="8">
        <f>F46*G46</f>
        <v>291.41578585225164</v>
      </c>
      <c r="I46" s="15">
        <v>0.56999999999999995</v>
      </c>
      <c r="J46" s="16">
        <v>2020</v>
      </c>
    </row>
    <row r="47" spans="1:10" x14ac:dyDescent="0.2">
      <c r="A47" s="5" t="s">
        <v>22</v>
      </c>
      <c r="B47" s="5" t="s">
        <v>53</v>
      </c>
      <c r="C47" s="14">
        <v>0.125</v>
      </c>
      <c r="D47" s="14">
        <v>0.17069999999999999</v>
      </c>
      <c r="E47" s="9">
        <f>C47*D47</f>
        <v>2.1337499999999999E-2</v>
      </c>
      <c r="F47" s="8">
        <f>B3*E47</f>
        <v>2133.75</v>
      </c>
      <c r="G47" s="14">
        <v>0.29823453644037468</v>
      </c>
      <c r="H47" s="8">
        <f>F47*G47</f>
        <v>636.35794212964947</v>
      </c>
      <c r="I47" s="15">
        <v>0.85</v>
      </c>
      <c r="J47" s="16">
        <v>4579</v>
      </c>
    </row>
    <row r="49" spans="1:10" x14ac:dyDescent="0.2">
      <c r="A49" s="5" t="s">
        <v>20</v>
      </c>
      <c r="B49" s="5" t="s">
        <v>46</v>
      </c>
      <c r="C49" s="14">
        <v>0.125</v>
      </c>
      <c r="D49" s="14">
        <v>0.2888</v>
      </c>
      <c r="E49" s="9">
        <f t="shared" ref="E49:E63" si="3">C49*D49</f>
        <v>3.61E-2</v>
      </c>
      <c r="F49" s="8">
        <f>B3*E49</f>
        <v>3610</v>
      </c>
      <c r="G49" s="14">
        <v>0.16363886831279811</v>
      </c>
      <c r="H49" s="8">
        <f t="shared" ref="H49:H63" si="4">F49*G49</f>
        <v>590.73631460920114</v>
      </c>
      <c r="I49" s="15">
        <v>4.26</v>
      </c>
      <c r="J49" s="16">
        <v>149.09</v>
      </c>
    </row>
    <row r="50" spans="1:10" x14ac:dyDescent="0.2">
      <c r="A50" s="5" t="s">
        <v>20</v>
      </c>
      <c r="B50" s="5" t="s">
        <v>59</v>
      </c>
      <c r="C50" s="14">
        <v>0.125</v>
      </c>
      <c r="D50" s="14">
        <v>2.7900000000000001E-2</v>
      </c>
      <c r="E50" s="9">
        <f t="shared" si="3"/>
        <v>3.4875000000000001E-3</v>
      </c>
      <c r="F50" s="8">
        <f>B3*E50</f>
        <v>348.75</v>
      </c>
      <c r="G50" s="14">
        <v>5.7237530744910788E-2</v>
      </c>
      <c r="H50" s="8">
        <f t="shared" si="4"/>
        <v>19.961588847287636</v>
      </c>
      <c r="I50" s="15">
        <v>1.53</v>
      </c>
      <c r="J50" s="16">
        <v>553.53</v>
      </c>
    </row>
    <row r="51" spans="1:10" x14ac:dyDescent="0.2">
      <c r="A51" s="5" t="s">
        <v>20</v>
      </c>
      <c r="B51" s="5" t="s">
        <v>49</v>
      </c>
      <c r="C51" s="14">
        <v>0.125</v>
      </c>
      <c r="D51" s="14">
        <v>1.01E-2</v>
      </c>
      <c r="E51" s="9">
        <f t="shared" si="3"/>
        <v>1.2625E-3</v>
      </c>
      <c r="F51" s="8">
        <f>B3*E51</f>
        <v>126.25</v>
      </c>
      <c r="G51" s="14">
        <v>3.4808358551160698E-2</v>
      </c>
      <c r="H51" s="8">
        <f t="shared" si="4"/>
        <v>4.394555267084038</v>
      </c>
      <c r="I51" s="15">
        <v>1.01</v>
      </c>
      <c r="J51" s="16">
        <v>1262.53</v>
      </c>
    </row>
    <row r="52" spans="1:10" x14ac:dyDescent="0.2">
      <c r="A52" s="5" t="s">
        <v>20</v>
      </c>
      <c r="B52" s="5" t="s">
        <v>60</v>
      </c>
      <c r="C52" s="14">
        <v>0.125</v>
      </c>
      <c r="D52" s="14">
        <v>2.2599999999999999E-2</v>
      </c>
      <c r="E52" s="9">
        <f t="shared" si="3"/>
        <v>2.8249999999999998E-3</v>
      </c>
      <c r="F52" s="8">
        <f>B3*E52</f>
        <v>282.5</v>
      </c>
      <c r="G52" s="14">
        <v>4.7725084123234861E-2</v>
      </c>
      <c r="H52" s="8">
        <f t="shared" si="4"/>
        <v>13.482336264813847</v>
      </c>
      <c r="I52" s="15">
        <v>1.0900000000000001</v>
      </c>
      <c r="J52" s="16">
        <v>486.55</v>
      </c>
    </row>
    <row r="53" spans="1:10" x14ac:dyDescent="0.2">
      <c r="A53" s="5" t="s">
        <v>20</v>
      </c>
      <c r="B53" s="5" t="s">
        <v>43</v>
      </c>
      <c r="C53" s="14">
        <v>0.125</v>
      </c>
      <c r="D53" s="14">
        <v>7.0000000000000007E-2</v>
      </c>
      <c r="E53" s="9">
        <f t="shared" si="3"/>
        <v>8.7500000000000008E-3</v>
      </c>
      <c r="F53" s="8">
        <f>B3*E53</f>
        <v>875.00000000000011</v>
      </c>
      <c r="G53" s="14">
        <v>9.243382392575511E-2</v>
      </c>
      <c r="H53" s="8">
        <f t="shared" si="4"/>
        <v>80.879595935035738</v>
      </c>
      <c r="I53" s="15">
        <v>1.85</v>
      </c>
      <c r="J53" s="16">
        <v>267.04000000000002</v>
      </c>
    </row>
    <row r="54" spans="1:10" x14ac:dyDescent="0.2">
      <c r="A54" s="5" t="s">
        <v>20</v>
      </c>
      <c r="B54" s="5" t="s">
        <v>64</v>
      </c>
      <c r="C54" s="14">
        <v>0.125</v>
      </c>
      <c r="D54" s="14">
        <v>1.4E-2</v>
      </c>
      <c r="E54" s="9">
        <f t="shared" si="3"/>
        <v>1.75E-3</v>
      </c>
      <c r="F54" s="8">
        <f>B3*E54</f>
        <v>175</v>
      </c>
      <c r="G54" s="14">
        <v>3.3060293129844487E-2</v>
      </c>
      <c r="H54" s="8">
        <f t="shared" si="4"/>
        <v>5.785551297722785</v>
      </c>
      <c r="I54" s="15">
        <v>1.01</v>
      </c>
      <c r="J54" s="16">
        <v>727.1</v>
      </c>
    </row>
    <row r="55" spans="1:10" x14ac:dyDescent="0.2">
      <c r="A55" s="5" t="s">
        <v>20</v>
      </c>
      <c r="B55" s="5" t="s">
        <v>44</v>
      </c>
      <c r="C55" s="14">
        <v>0.125</v>
      </c>
      <c r="D55" s="14">
        <v>0.22420000000000001</v>
      </c>
      <c r="E55" s="9">
        <f t="shared" si="3"/>
        <v>2.8025000000000001E-2</v>
      </c>
      <c r="F55" s="8">
        <f>B3*E55</f>
        <v>2802.5</v>
      </c>
      <c r="G55" s="14">
        <v>0.2598882343822555</v>
      </c>
      <c r="H55" s="8">
        <f t="shared" si="4"/>
        <v>728.33677685627106</v>
      </c>
      <c r="I55" s="15">
        <v>3.13</v>
      </c>
      <c r="J55" s="16">
        <v>141.11000000000001</v>
      </c>
    </row>
    <row r="56" spans="1:10" x14ac:dyDescent="0.2">
      <c r="A56" s="5" t="s">
        <v>20</v>
      </c>
      <c r="B56" s="5" t="s">
        <v>56</v>
      </c>
      <c r="C56" s="14">
        <v>0.125</v>
      </c>
      <c r="D56" s="14">
        <v>8.1500000000000003E-2</v>
      </c>
      <c r="E56" s="9">
        <f t="shared" si="3"/>
        <v>1.01875E-2</v>
      </c>
      <c r="F56" s="8">
        <f>B3*E56</f>
        <v>1018.75</v>
      </c>
      <c r="G56" s="14">
        <v>0.12886538550677101</v>
      </c>
      <c r="H56" s="8">
        <f t="shared" si="4"/>
        <v>131.28161148502298</v>
      </c>
      <c r="I56" s="15">
        <v>2.61</v>
      </c>
      <c r="J56" s="16">
        <v>323.61</v>
      </c>
    </row>
    <row r="57" spans="1:10" x14ac:dyDescent="0.2">
      <c r="A57" s="5" t="s">
        <v>20</v>
      </c>
      <c r="B57" s="5" t="s">
        <v>57</v>
      </c>
      <c r="C57" s="14">
        <v>0.125</v>
      </c>
      <c r="D57" s="14">
        <v>6.9400000000000003E-2</v>
      </c>
      <c r="E57" s="9">
        <f t="shared" si="3"/>
        <v>8.6750000000000004E-3</v>
      </c>
      <c r="F57" s="8">
        <f>B3*E57</f>
        <v>867.5</v>
      </c>
      <c r="G57" s="14">
        <v>0.10417987081779111</v>
      </c>
      <c r="H57" s="8">
        <f t="shared" si="4"/>
        <v>90.376037934433782</v>
      </c>
      <c r="I57" s="15">
        <v>2.1800000000000002</v>
      </c>
      <c r="J57" s="16">
        <v>317.39999999999998</v>
      </c>
    </row>
    <row r="58" spans="1:10" x14ac:dyDescent="0.2">
      <c r="A58" s="5" t="s">
        <v>20</v>
      </c>
      <c r="B58" s="5" t="s">
        <v>62</v>
      </c>
      <c r="C58" s="14">
        <v>0.125</v>
      </c>
      <c r="D58" s="14">
        <v>2.0199999999999999E-2</v>
      </c>
      <c r="E58" s="9">
        <f t="shared" si="3"/>
        <v>2.5249999999999999E-3</v>
      </c>
      <c r="F58" s="8">
        <f>B3*E58</f>
        <v>252.5</v>
      </c>
      <c r="G58" s="14">
        <v>7.5742052359749054E-2</v>
      </c>
      <c r="H58" s="8">
        <f t="shared" si="4"/>
        <v>19.124868220836635</v>
      </c>
      <c r="I58" s="15">
        <v>1.53</v>
      </c>
      <c r="J58" s="16">
        <v>763.98</v>
      </c>
    </row>
    <row r="59" spans="1:10" x14ac:dyDescent="0.2">
      <c r="A59" s="5" t="s">
        <v>20</v>
      </c>
      <c r="B59" s="5" t="s">
        <v>48</v>
      </c>
      <c r="C59" s="14">
        <v>0.125</v>
      </c>
      <c r="D59" s="14">
        <v>1.9199999999999998E-2</v>
      </c>
      <c r="E59" s="9">
        <f t="shared" si="3"/>
        <v>2.3999999999999998E-3</v>
      </c>
      <c r="F59" s="8">
        <f>B3*E59</f>
        <v>239.99999999999997</v>
      </c>
      <c r="G59" s="14">
        <v>5.6236613514713499E-2</v>
      </c>
      <c r="H59" s="8">
        <f t="shared" si="4"/>
        <v>13.496787243531237</v>
      </c>
      <c r="I59" s="15">
        <v>1.4</v>
      </c>
      <c r="J59" s="16">
        <v>735.54</v>
      </c>
    </row>
    <row r="60" spans="1:10" x14ac:dyDescent="0.2">
      <c r="A60" s="5" t="s">
        <v>20</v>
      </c>
      <c r="B60" s="5" t="s">
        <v>61</v>
      </c>
      <c r="C60" s="14">
        <v>0.125</v>
      </c>
      <c r="D60" s="14">
        <v>2.1999999999999999E-2</v>
      </c>
      <c r="E60" s="9">
        <f t="shared" si="3"/>
        <v>2.7499999999999998E-3</v>
      </c>
      <c r="F60" s="8">
        <f>B3*E60</f>
        <v>275</v>
      </c>
      <c r="G60" s="14">
        <v>3.5871851794559401E-2</v>
      </c>
      <c r="H60" s="8">
        <f t="shared" si="4"/>
        <v>9.8647592435038352</v>
      </c>
      <c r="I60" s="15">
        <v>1.29</v>
      </c>
      <c r="J60" s="16">
        <v>592.92999999999995</v>
      </c>
    </row>
    <row r="61" spans="1:10" x14ac:dyDescent="0.2">
      <c r="A61" s="5" t="s">
        <v>20</v>
      </c>
      <c r="B61" s="5" t="s">
        <v>45</v>
      </c>
      <c r="C61" s="14">
        <v>0.125</v>
      </c>
      <c r="D61" s="14">
        <v>8.5600000000000009E-2</v>
      </c>
      <c r="E61" s="9">
        <f t="shared" si="3"/>
        <v>1.0700000000000001E-2</v>
      </c>
      <c r="F61" s="8">
        <f>B3*E61</f>
        <v>1070.0000000000002</v>
      </c>
      <c r="G61" s="14">
        <v>0.1188260555884741</v>
      </c>
      <c r="H61" s="8">
        <f t="shared" si="4"/>
        <v>127.14387947966732</v>
      </c>
      <c r="I61" s="15">
        <v>2.17</v>
      </c>
      <c r="J61" s="16">
        <v>256.2</v>
      </c>
    </row>
    <row r="62" spans="1:10" x14ac:dyDescent="0.2">
      <c r="A62" s="5" t="s">
        <v>20</v>
      </c>
      <c r="B62" s="5" t="s">
        <v>58</v>
      </c>
      <c r="C62" s="14">
        <v>0.125</v>
      </c>
      <c r="D62" s="14">
        <v>2.98E-2</v>
      </c>
      <c r="E62" s="9">
        <f t="shared" si="3"/>
        <v>3.725E-3</v>
      </c>
      <c r="F62" s="8">
        <f>B3*E62</f>
        <v>372.5</v>
      </c>
      <c r="G62" s="14">
        <v>6.1130900343341697E-2</v>
      </c>
      <c r="H62" s="8">
        <f t="shared" si="4"/>
        <v>22.771260377894784</v>
      </c>
      <c r="I62" s="15">
        <v>1.46</v>
      </c>
      <c r="J62" s="16">
        <v>495.84</v>
      </c>
    </row>
    <row r="63" spans="1:10" x14ac:dyDescent="0.2">
      <c r="A63" s="5" t="s">
        <v>20</v>
      </c>
      <c r="B63" s="5" t="s">
        <v>63</v>
      </c>
      <c r="C63" s="14">
        <v>0.125</v>
      </c>
      <c r="D63" s="14">
        <v>1.4500000000000001E-2</v>
      </c>
      <c r="E63" s="9">
        <f t="shared" si="3"/>
        <v>1.8125000000000001E-3</v>
      </c>
      <c r="F63" s="8">
        <f>B3*E63</f>
        <v>181.25</v>
      </c>
      <c r="G63" s="14">
        <v>4.0976469350020722E-2</v>
      </c>
      <c r="H63" s="8">
        <f t="shared" si="4"/>
        <v>7.4269850696912556</v>
      </c>
      <c r="I63" s="15">
        <v>0.97</v>
      </c>
      <c r="J63" s="16">
        <v>674.92</v>
      </c>
    </row>
    <row r="65" spans="1:10" x14ac:dyDescent="0.2">
      <c r="A65" s="5" t="s">
        <v>19</v>
      </c>
      <c r="B65" s="5" t="s">
        <v>67</v>
      </c>
      <c r="C65" s="14">
        <v>0.125</v>
      </c>
      <c r="D65" s="14">
        <v>0.1852</v>
      </c>
      <c r="E65" s="9">
        <f t="shared" ref="E65:E70" si="5">C65*D65</f>
        <v>2.315E-2</v>
      </c>
      <c r="F65" s="8">
        <f>B3*E65</f>
        <v>2315</v>
      </c>
      <c r="G65" s="14">
        <v>0.17929380490060101</v>
      </c>
      <c r="H65" s="8">
        <f t="shared" ref="H65:H70" si="6">F65*G65</f>
        <v>415.06515834489136</v>
      </c>
      <c r="I65" s="15">
        <v>1.44</v>
      </c>
      <c r="J65" s="16">
        <v>19.28</v>
      </c>
    </row>
    <row r="66" spans="1:10" x14ac:dyDescent="0.2">
      <c r="A66" s="5" t="s">
        <v>19</v>
      </c>
      <c r="B66" s="5" t="s">
        <v>69</v>
      </c>
      <c r="C66" s="14">
        <v>0.125</v>
      </c>
      <c r="D66" s="14">
        <v>8.9800000000000005E-2</v>
      </c>
      <c r="E66" s="9">
        <f t="shared" si="5"/>
        <v>1.1225000000000001E-2</v>
      </c>
      <c r="F66" s="8">
        <f>B3*E66</f>
        <v>1122.5</v>
      </c>
      <c r="G66" s="14">
        <v>0.12592523808934869</v>
      </c>
      <c r="H66" s="8">
        <f t="shared" si="6"/>
        <v>141.35107975529391</v>
      </c>
      <c r="I66" s="15">
        <v>0.84</v>
      </c>
      <c r="J66" s="16">
        <v>23.23</v>
      </c>
    </row>
    <row r="67" spans="1:10" x14ac:dyDescent="0.2">
      <c r="A67" s="5" t="s">
        <v>19</v>
      </c>
      <c r="B67" s="5" t="s">
        <v>52</v>
      </c>
      <c r="C67" s="14">
        <v>0.125</v>
      </c>
      <c r="D67" s="14">
        <v>0.13059999999999999</v>
      </c>
      <c r="E67" s="9">
        <f t="shared" si="5"/>
        <v>1.6324999999999999E-2</v>
      </c>
      <c r="F67" s="8">
        <f>B3*E67</f>
        <v>1632.5</v>
      </c>
      <c r="G67" s="14">
        <v>0.10434506088802779</v>
      </c>
      <c r="H67" s="8">
        <f t="shared" si="6"/>
        <v>170.34331189970538</v>
      </c>
      <c r="I67" s="15">
        <v>0.9</v>
      </c>
      <c r="J67" s="16">
        <v>17.09</v>
      </c>
    </row>
    <row r="68" spans="1:10" x14ac:dyDescent="0.2">
      <c r="A68" s="5" t="s">
        <v>19</v>
      </c>
      <c r="B68" s="5" t="s">
        <v>68</v>
      </c>
      <c r="C68" s="14">
        <v>0.125</v>
      </c>
      <c r="D68" s="14">
        <v>0.1169</v>
      </c>
      <c r="E68" s="9">
        <f t="shared" si="5"/>
        <v>1.46125E-2</v>
      </c>
      <c r="F68" s="8">
        <f>B3*E68</f>
        <v>1461.25</v>
      </c>
      <c r="G68" s="14">
        <v>8.1145476585578274E-2</v>
      </c>
      <c r="H68" s="8">
        <f t="shared" si="6"/>
        <v>118.57382766067626</v>
      </c>
      <c r="I68" s="15">
        <v>0.95</v>
      </c>
      <c r="J68" s="16">
        <v>20.25</v>
      </c>
    </row>
    <row r="69" spans="1:10" x14ac:dyDescent="0.2">
      <c r="A69" s="5" t="s">
        <v>19</v>
      </c>
      <c r="B69" s="5" t="s">
        <v>66</v>
      </c>
      <c r="C69" s="14">
        <v>0.125</v>
      </c>
      <c r="D69" s="14">
        <v>0.1246</v>
      </c>
      <c r="E69" s="9">
        <f t="shared" si="5"/>
        <v>1.5575E-2</v>
      </c>
      <c r="F69" s="8">
        <f>B3*E69</f>
        <v>1557.5</v>
      </c>
      <c r="G69" s="14">
        <v>0.1221737101234532</v>
      </c>
      <c r="H69" s="8">
        <f t="shared" si="6"/>
        <v>190.28555351727834</v>
      </c>
      <c r="I69" s="15">
        <v>0.85</v>
      </c>
      <c r="J69" s="16">
        <v>16.829999999999998</v>
      </c>
    </row>
    <row r="70" spans="1:10" x14ac:dyDescent="0.2">
      <c r="A70" s="5" t="s">
        <v>19</v>
      </c>
      <c r="B70" s="5" t="s">
        <v>53</v>
      </c>
      <c r="C70" s="14">
        <v>0.125</v>
      </c>
      <c r="D70" s="14">
        <v>0.35289999999999999</v>
      </c>
      <c r="E70" s="9">
        <f t="shared" si="5"/>
        <v>4.4112499999999999E-2</v>
      </c>
      <c r="F70" s="8">
        <f>B3*E70</f>
        <v>4411.25</v>
      </c>
      <c r="G70" s="14">
        <v>0.31989785882370081</v>
      </c>
      <c r="H70" s="8">
        <f t="shared" si="6"/>
        <v>1411.1494297360503</v>
      </c>
      <c r="I70" s="15">
        <v>0.9</v>
      </c>
      <c r="J70" s="16">
        <v>6.34</v>
      </c>
    </row>
    <row r="72" spans="1:10" x14ac:dyDescent="0.2">
      <c r="A72" s="5" t="s">
        <v>23</v>
      </c>
      <c r="B72" s="5" t="s">
        <v>70</v>
      </c>
      <c r="C72" s="14">
        <v>0.125</v>
      </c>
      <c r="D72" s="14">
        <v>1</v>
      </c>
      <c r="E72" s="9">
        <f>C72*D72</f>
        <v>0.125</v>
      </c>
      <c r="F72" s="8">
        <f>B3*E72</f>
        <v>12500</v>
      </c>
      <c r="G72" s="14">
        <v>0.2445482895588334</v>
      </c>
      <c r="H72" s="8">
        <f>F72*G72</f>
        <v>3056.8536194854173</v>
      </c>
      <c r="I72" s="15">
        <v>2.71</v>
      </c>
      <c r="J72" s="16">
        <v>410</v>
      </c>
    </row>
    <row r="74" spans="1:10" x14ac:dyDescent="0.2">
      <c r="A74" s="10" t="s">
        <v>24</v>
      </c>
      <c r="B74" s="17"/>
      <c r="C74" s="17"/>
      <c r="D74" s="17"/>
      <c r="E74" s="11">
        <f>SUMIF(A25:A72,"&lt;&gt;",E25:E72)</f>
        <v>0.99996250000000009</v>
      </c>
      <c r="F74" s="12">
        <f>SUMIF(A25:A72,"&lt;&gt;",F25:F72)</f>
        <v>99996.25</v>
      </c>
      <c r="G74" s="17"/>
      <c r="H74" s="12">
        <f>SUMIF(A25:A72,"&lt;&gt;",H25:H72)</f>
        <v>25153.998162879507</v>
      </c>
      <c r="I74" s="17"/>
      <c r="J74" s="17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4"/>
  <sheetViews>
    <sheetView workbookViewId="0">
      <selection activeCell="A5" sqref="A5:D7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26" t="s">
        <v>85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6" x14ac:dyDescent="0.2">
      <c r="A3" s="18" t="s">
        <v>72</v>
      </c>
      <c r="B3" s="19">
        <f>'Portfolio Allocation'!B3</f>
        <v>100000</v>
      </c>
    </row>
    <row r="5" spans="1:10" ht="16" x14ac:dyDescent="0.2">
      <c r="A5" s="33" t="s">
        <v>3</v>
      </c>
      <c r="B5" s="28"/>
      <c r="C5" s="28"/>
      <c r="D5" s="28"/>
    </row>
    <row r="6" spans="1:10" x14ac:dyDescent="0.2">
      <c r="A6" s="34" t="s">
        <v>73</v>
      </c>
      <c r="B6" s="12">
        <f>E20</f>
        <v>26574.974612058428</v>
      </c>
      <c r="C6" s="5"/>
      <c r="D6" s="5"/>
    </row>
    <row r="7" spans="1:10" x14ac:dyDescent="0.2">
      <c r="A7" s="34" t="s">
        <v>74</v>
      </c>
      <c r="B7" s="11">
        <f>IF(B3&gt;0,B6/B3,0)</f>
        <v>0.26574974612058427</v>
      </c>
      <c r="C7" s="5"/>
      <c r="D7" s="5"/>
    </row>
    <row r="10" spans="1:10" ht="16" x14ac:dyDescent="0.2">
      <c r="A10" s="25" t="s">
        <v>75</v>
      </c>
      <c r="B10" s="23"/>
      <c r="C10" s="23"/>
      <c r="D10" s="23"/>
      <c r="E10" s="23"/>
      <c r="F10" s="23"/>
    </row>
    <row r="11" spans="1:10" x14ac:dyDescent="0.2">
      <c r="A11" s="20" t="s">
        <v>10</v>
      </c>
      <c r="B11" s="20" t="s">
        <v>11</v>
      </c>
      <c r="C11" s="20" t="s">
        <v>27</v>
      </c>
      <c r="D11" s="20" t="s">
        <v>13</v>
      </c>
      <c r="E11" s="20" t="s">
        <v>76</v>
      </c>
      <c r="F11" s="20" t="s">
        <v>15</v>
      </c>
    </row>
    <row r="12" spans="1:10" x14ac:dyDescent="0.2">
      <c r="A12" s="5" t="s">
        <v>16</v>
      </c>
      <c r="B12" s="6">
        <v>2</v>
      </c>
      <c r="C12" s="14">
        <v>0.125</v>
      </c>
      <c r="D12" s="8">
        <f>B3*C12</f>
        <v>12500</v>
      </c>
      <c r="E12" s="8">
        <f>SUMIF(A25:A72,A12,H25:H72)</f>
        <v>3812.1385182810682</v>
      </c>
      <c r="F12" s="9">
        <f t="shared" ref="F12:F20" si="0">IF(D12&gt;0,E12/D12,0)</f>
        <v>0.30497108146248547</v>
      </c>
    </row>
    <row r="13" spans="1:10" x14ac:dyDescent="0.2">
      <c r="A13" s="5" t="s">
        <v>17</v>
      </c>
      <c r="B13" s="6">
        <v>2</v>
      </c>
      <c r="C13" s="14">
        <v>0.125</v>
      </c>
      <c r="D13" s="8">
        <f>B3*C13</f>
        <v>12500</v>
      </c>
      <c r="E13" s="8">
        <f>SUMIF(A25:A72,A13,H25:H72)</f>
        <v>4372.4331016497272</v>
      </c>
      <c r="F13" s="9">
        <f t="shared" si="0"/>
        <v>0.34979464813197819</v>
      </c>
    </row>
    <row r="14" spans="1:10" x14ac:dyDescent="0.2">
      <c r="A14" s="5" t="s">
        <v>18</v>
      </c>
      <c r="B14" s="6">
        <v>8</v>
      </c>
      <c r="C14" s="14">
        <v>0.125</v>
      </c>
      <c r="D14" s="8">
        <f>B3*C14</f>
        <v>12500</v>
      </c>
      <c r="E14" s="8">
        <f>SUMIF(A25:A72,A14,H25:H72)</f>
        <v>4933.2873169878931</v>
      </c>
      <c r="F14" s="9">
        <f t="shared" si="0"/>
        <v>0.39466298535903144</v>
      </c>
    </row>
    <row r="15" spans="1:10" x14ac:dyDescent="0.2">
      <c r="A15" s="5" t="s">
        <v>19</v>
      </c>
      <c r="B15" s="6">
        <v>6</v>
      </c>
      <c r="C15" s="14">
        <v>0.125</v>
      </c>
      <c r="D15" s="8">
        <f>B3*C15</f>
        <v>12500</v>
      </c>
      <c r="E15" s="8">
        <f>SUMIF(A25:A72,A15,H25:H72)</f>
        <v>3038.5663776238712</v>
      </c>
      <c r="F15" s="9">
        <f t="shared" si="0"/>
        <v>0.2430853102099097</v>
      </c>
    </row>
    <row r="16" spans="1:10" x14ac:dyDescent="0.2">
      <c r="A16" s="5" t="s">
        <v>20</v>
      </c>
      <c r="B16" s="6">
        <v>15</v>
      </c>
      <c r="C16" s="14">
        <v>0.125</v>
      </c>
      <c r="D16" s="8">
        <f>B3*C16</f>
        <v>12500</v>
      </c>
      <c r="E16" s="8">
        <f>SUMIF(A25:A72,A16,H25:H72)</f>
        <v>2295.7255134836487</v>
      </c>
      <c r="F16" s="9">
        <f t="shared" si="0"/>
        <v>0.18365804107869191</v>
      </c>
    </row>
    <row r="17" spans="1:10" x14ac:dyDescent="0.2">
      <c r="A17" s="5" t="s">
        <v>21</v>
      </c>
      <c r="B17" s="6">
        <v>2</v>
      </c>
      <c r="C17" s="14">
        <v>0.125</v>
      </c>
      <c r="D17" s="8">
        <f>B3*C17</f>
        <v>12500</v>
      </c>
      <c r="E17" s="8">
        <f>SUMIF(A25:A72,A17,H25:H72)</f>
        <v>2337.1106088464903</v>
      </c>
      <c r="F17" s="9">
        <f t="shared" si="0"/>
        <v>0.18696884870771924</v>
      </c>
    </row>
    <row r="18" spans="1:10" x14ac:dyDescent="0.2">
      <c r="A18" s="5" t="s">
        <v>22</v>
      </c>
      <c r="B18" s="6">
        <v>5</v>
      </c>
      <c r="C18" s="14">
        <v>0.125</v>
      </c>
      <c r="D18" s="8">
        <f>B3*C18</f>
        <v>12500</v>
      </c>
      <c r="E18" s="8">
        <f>SUMIF(A25:A72,A18,H25:H72)</f>
        <v>2728.8595557003127</v>
      </c>
      <c r="F18" s="9">
        <f t="shared" si="0"/>
        <v>0.21830876445602501</v>
      </c>
    </row>
    <row r="19" spans="1:10" x14ac:dyDescent="0.2">
      <c r="A19" s="5" t="s">
        <v>23</v>
      </c>
      <c r="B19" s="6">
        <v>1</v>
      </c>
      <c r="C19" s="14">
        <v>0.125</v>
      </c>
      <c r="D19" s="8">
        <f>B3*C19</f>
        <v>12500</v>
      </c>
      <c r="E19" s="8">
        <f>SUMIF(A25:A72,A19,H25:H72)</f>
        <v>3056.8536194854173</v>
      </c>
      <c r="F19" s="9">
        <f t="shared" si="0"/>
        <v>0.2445482895588334</v>
      </c>
    </row>
    <row r="20" spans="1:10" x14ac:dyDescent="0.2">
      <c r="A20" s="10" t="s">
        <v>24</v>
      </c>
      <c r="B20" s="10">
        <f>SUM(B12:B19)</f>
        <v>41</v>
      </c>
      <c r="C20" s="11">
        <f>SUM(C12:C19)</f>
        <v>1</v>
      </c>
      <c r="D20" s="12">
        <f>SUM(D12:D19)</f>
        <v>100000</v>
      </c>
      <c r="E20" s="12">
        <f>SUM(E12:E19)</f>
        <v>26574.974612058428</v>
      </c>
      <c r="F20" s="11">
        <f t="shared" si="0"/>
        <v>0.26574974612058427</v>
      </c>
    </row>
    <row r="23" spans="1:10" ht="16" x14ac:dyDescent="0.2">
      <c r="A23" s="25" t="s">
        <v>77</v>
      </c>
      <c r="B23" s="23"/>
      <c r="C23" s="23"/>
      <c r="D23" s="23"/>
      <c r="E23" s="23"/>
      <c r="F23" s="23"/>
      <c r="G23" s="23"/>
      <c r="H23" s="23"/>
      <c r="I23" s="23"/>
      <c r="J23" s="23"/>
    </row>
    <row r="24" spans="1:10" x14ac:dyDescent="0.2">
      <c r="A24" s="21" t="s">
        <v>10</v>
      </c>
      <c r="B24" s="21" t="s">
        <v>26</v>
      </c>
      <c r="C24" s="21" t="s">
        <v>78</v>
      </c>
      <c r="D24" s="21" t="s">
        <v>79</v>
      </c>
      <c r="E24" s="21" t="s">
        <v>80</v>
      </c>
      <c r="F24" s="21" t="s">
        <v>13</v>
      </c>
      <c r="G24" s="21" t="s">
        <v>30</v>
      </c>
      <c r="H24" s="21" t="s">
        <v>14</v>
      </c>
      <c r="I24" s="21" t="s">
        <v>35</v>
      </c>
      <c r="J24" s="21" t="s">
        <v>81</v>
      </c>
    </row>
    <row r="25" spans="1:10" x14ac:dyDescent="0.2">
      <c r="A25" s="5" t="s">
        <v>16</v>
      </c>
      <c r="B25" s="5" t="s">
        <v>34</v>
      </c>
      <c r="C25" s="14">
        <v>0.125</v>
      </c>
      <c r="D25" s="14">
        <v>0.43940000000000001</v>
      </c>
      <c r="E25" s="9">
        <f>C25*D25</f>
        <v>5.4925000000000002E-2</v>
      </c>
      <c r="F25" s="8">
        <f>B3*E25</f>
        <v>5492.5</v>
      </c>
      <c r="G25" s="14">
        <v>0.2832023821672856</v>
      </c>
      <c r="H25" s="8">
        <f>F25*G25</f>
        <v>1555.4890840538162</v>
      </c>
      <c r="I25" s="15">
        <v>1.53</v>
      </c>
      <c r="J25" s="16">
        <v>752</v>
      </c>
    </row>
    <row r="26" spans="1:10" x14ac:dyDescent="0.2">
      <c r="A26" s="5" t="s">
        <v>16</v>
      </c>
      <c r="B26" s="5" t="s">
        <v>36</v>
      </c>
      <c r="C26" s="14">
        <v>0.125</v>
      </c>
      <c r="D26" s="14">
        <v>0.56059999999999999</v>
      </c>
      <c r="E26" s="9">
        <f>C26*D26</f>
        <v>7.0074999999999998E-2</v>
      </c>
      <c r="F26" s="8">
        <f>B3*E26</f>
        <v>7007.5</v>
      </c>
      <c r="G26" s="14">
        <v>0.3220334547595079</v>
      </c>
      <c r="H26" s="8">
        <f>F26*G26</f>
        <v>2256.6494342272517</v>
      </c>
      <c r="I26" s="15">
        <v>1.4</v>
      </c>
      <c r="J26" s="16">
        <v>580</v>
      </c>
    </row>
    <row r="28" spans="1:10" x14ac:dyDescent="0.2">
      <c r="A28" s="5" t="s">
        <v>21</v>
      </c>
      <c r="B28" s="5" t="s">
        <v>37</v>
      </c>
      <c r="C28" s="14">
        <v>0.125</v>
      </c>
      <c r="D28" s="14">
        <v>0.77439999999999998</v>
      </c>
      <c r="E28" s="9">
        <f>C28*D28</f>
        <v>9.6799999999999997E-2</v>
      </c>
      <c r="F28" s="8">
        <f>B3*E28</f>
        <v>9680</v>
      </c>
      <c r="G28" s="14">
        <v>0.1575684854596989</v>
      </c>
      <c r="H28" s="8">
        <f>F28*G28</f>
        <v>1525.2629392498852</v>
      </c>
      <c r="I28" s="15">
        <v>5.77</v>
      </c>
      <c r="J28" s="16">
        <v>3319</v>
      </c>
    </row>
    <row r="29" spans="1:10" x14ac:dyDescent="0.2">
      <c r="A29" s="5" t="s">
        <v>21</v>
      </c>
      <c r="B29" s="5" t="s">
        <v>39</v>
      </c>
      <c r="C29" s="14">
        <v>0.125</v>
      </c>
      <c r="D29" s="14">
        <v>0.22559999999999999</v>
      </c>
      <c r="E29" s="9">
        <f>C29*D29</f>
        <v>2.8199999999999999E-2</v>
      </c>
      <c r="F29" s="8">
        <f>B3*E29</f>
        <v>2820</v>
      </c>
      <c r="G29" s="14">
        <v>0.28788924453780329</v>
      </c>
      <c r="H29" s="8">
        <f>F29*G29</f>
        <v>811.84766959660533</v>
      </c>
      <c r="I29" s="15">
        <v>2</v>
      </c>
      <c r="J29" s="16">
        <v>6752</v>
      </c>
    </row>
    <row r="31" spans="1:10" x14ac:dyDescent="0.2">
      <c r="A31" s="5" t="s">
        <v>17</v>
      </c>
      <c r="B31" s="5" t="s">
        <v>40</v>
      </c>
      <c r="C31" s="14">
        <v>0.125</v>
      </c>
      <c r="D31" s="14">
        <v>0.90879999999999994</v>
      </c>
      <c r="E31" s="9">
        <f>C31*D31</f>
        <v>0.11359999999999999</v>
      </c>
      <c r="F31" s="8">
        <f>B3*E31</f>
        <v>11360</v>
      </c>
      <c r="G31" s="14">
        <v>0.35841800574389149</v>
      </c>
      <c r="H31" s="8">
        <f>F31*G31</f>
        <v>4071.6285452506072</v>
      </c>
      <c r="I31" s="15">
        <v>1.26</v>
      </c>
      <c r="J31" s="16">
        <v>556</v>
      </c>
    </row>
    <row r="32" spans="1:10" x14ac:dyDescent="0.2">
      <c r="A32" s="5" t="s">
        <v>17</v>
      </c>
      <c r="B32" s="5" t="s">
        <v>41</v>
      </c>
      <c r="C32" s="14">
        <v>0.125</v>
      </c>
      <c r="D32" s="14">
        <v>9.1199999999999989E-2</v>
      </c>
      <c r="E32" s="9">
        <f>C32*D32</f>
        <v>1.1399999999999999E-2</v>
      </c>
      <c r="F32" s="8">
        <f>B3*E32</f>
        <v>1139.9999999999998</v>
      </c>
      <c r="G32" s="14">
        <v>0.26386364596414019</v>
      </c>
      <c r="H32" s="8">
        <f>F32*G32</f>
        <v>300.80455639911975</v>
      </c>
      <c r="I32" s="15">
        <v>0.85</v>
      </c>
      <c r="J32" s="16">
        <v>2860</v>
      </c>
    </row>
    <row r="34" spans="1:10" x14ac:dyDescent="0.2">
      <c r="A34" s="5" t="s">
        <v>18</v>
      </c>
      <c r="B34" s="5" t="s">
        <v>47</v>
      </c>
      <c r="C34" s="14">
        <v>0.125</v>
      </c>
      <c r="D34" s="14">
        <v>2.24E-2</v>
      </c>
      <c r="E34" s="9">
        <f t="shared" ref="E34:E41" si="1">C34*D34</f>
        <v>2.8E-3</v>
      </c>
      <c r="F34" s="8">
        <f>B3*E34</f>
        <v>280</v>
      </c>
      <c r="G34" s="14">
        <v>0.1223303009975288</v>
      </c>
      <c r="H34" s="8">
        <f t="shared" ref="H34:H41" si="2">F34*G34</f>
        <v>34.252484279308064</v>
      </c>
      <c r="I34" s="15">
        <v>3.27</v>
      </c>
      <c r="J34" s="16">
        <v>289.60000000000002</v>
      </c>
    </row>
    <row r="35" spans="1:10" x14ac:dyDescent="0.2">
      <c r="A35" s="5" t="s">
        <v>18</v>
      </c>
      <c r="B35" s="5" t="s">
        <v>46</v>
      </c>
      <c r="C35" s="14">
        <v>0.125</v>
      </c>
      <c r="D35" s="14">
        <v>0.1011</v>
      </c>
      <c r="E35" s="9">
        <f t="shared" si="1"/>
        <v>1.2637499999999999E-2</v>
      </c>
      <c r="F35" s="8">
        <f>B3*E35</f>
        <v>1263.75</v>
      </c>
      <c r="G35" s="14">
        <v>0.36557983602231447</v>
      </c>
      <c r="H35" s="8">
        <f t="shared" si="2"/>
        <v>462.00151777319991</v>
      </c>
      <c r="I35" s="15">
        <v>7.78</v>
      </c>
      <c r="J35" s="16">
        <v>459.6</v>
      </c>
    </row>
    <row r="36" spans="1:10" x14ac:dyDescent="0.2">
      <c r="A36" s="5" t="s">
        <v>18</v>
      </c>
      <c r="B36" s="5" t="s">
        <v>49</v>
      </c>
      <c r="C36" s="14">
        <v>0.125</v>
      </c>
      <c r="D36" s="14">
        <v>1.8100000000000002E-2</v>
      </c>
      <c r="E36" s="9">
        <f t="shared" si="1"/>
        <v>2.2625000000000002E-3</v>
      </c>
      <c r="F36" s="8">
        <f>B3*E36</f>
        <v>226.25000000000003</v>
      </c>
      <c r="G36" s="14">
        <v>0.1701591411339754</v>
      </c>
      <c r="H36" s="8">
        <f t="shared" si="2"/>
        <v>38.498505681561937</v>
      </c>
      <c r="I36" s="15">
        <v>5.29</v>
      </c>
      <c r="J36" s="16">
        <v>778</v>
      </c>
    </row>
    <row r="37" spans="1:10" x14ac:dyDescent="0.2">
      <c r="A37" s="5" t="s">
        <v>18</v>
      </c>
      <c r="B37" s="5" t="s">
        <v>43</v>
      </c>
      <c r="C37" s="14">
        <v>0.125</v>
      </c>
      <c r="D37" s="14">
        <v>0.3261</v>
      </c>
      <c r="E37" s="9">
        <f t="shared" si="1"/>
        <v>4.07625E-2</v>
      </c>
      <c r="F37" s="8">
        <f>B3*E37</f>
        <v>4076.25</v>
      </c>
      <c r="G37" s="14">
        <v>0.47127271300184448</v>
      </c>
      <c r="H37" s="8">
        <f t="shared" si="2"/>
        <v>1921.0253963737684</v>
      </c>
      <c r="I37" s="15">
        <v>5.26</v>
      </c>
      <c r="J37" s="16">
        <v>116.2</v>
      </c>
    </row>
    <row r="38" spans="1:10" x14ac:dyDescent="0.2">
      <c r="A38" s="5" t="s">
        <v>18</v>
      </c>
      <c r="B38" s="5" t="s">
        <v>42</v>
      </c>
      <c r="C38" s="14">
        <v>0.125</v>
      </c>
      <c r="D38" s="14">
        <v>0.33</v>
      </c>
      <c r="E38" s="9">
        <f t="shared" si="1"/>
        <v>4.1250000000000002E-2</v>
      </c>
      <c r="F38" s="8">
        <f>B3*E38</f>
        <v>4125</v>
      </c>
      <c r="G38" s="14">
        <v>0.44153906110968588</v>
      </c>
      <c r="H38" s="8">
        <f t="shared" si="2"/>
        <v>1821.3486270774542</v>
      </c>
      <c r="I38" s="15">
        <v>4.5199999999999996</v>
      </c>
      <c r="J38" s="16">
        <v>93.2</v>
      </c>
    </row>
    <row r="39" spans="1:10" x14ac:dyDescent="0.2">
      <c r="A39" s="5" t="s">
        <v>18</v>
      </c>
      <c r="B39" s="5" t="s">
        <v>44</v>
      </c>
      <c r="C39" s="14">
        <v>0.125</v>
      </c>
      <c r="D39" s="14">
        <v>0.1007</v>
      </c>
      <c r="E39" s="9">
        <f t="shared" si="1"/>
        <v>1.25875E-2</v>
      </c>
      <c r="F39" s="8">
        <f>B3*E39</f>
        <v>1258.75</v>
      </c>
      <c r="G39" s="14">
        <v>0.27756887439903111</v>
      </c>
      <c r="H39" s="8">
        <f t="shared" si="2"/>
        <v>349.3898206497804</v>
      </c>
      <c r="I39" s="15">
        <v>3.56</v>
      </c>
      <c r="J39" s="16">
        <v>154.80000000000001</v>
      </c>
    </row>
    <row r="40" spans="1:10" x14ac:dyDescent="0.2">
      <c r="A40" s="5" t="s">
        <v>18</v>
      </c>
      <c r="B40" s="5" t="s">
        <v>48</v>
      </c>
      <c r="C40" s="14">
        <v>0.125</v>
      </c>
      <c r="D40" s="14">
        <v>1.5599999999999999E-2</v>
      </c>
      <c r="E40" s="9">
        <f t="shared" si="1"/>
        <v>1.9499999999999999E-3</v>
      </c>
      <c r="F40" s="8">
        <f>B3*E40</f>
        <v>195</v>
      </c>
      <c r="G40" s="14">
        <v>0.14789904989094621</v>
      </c>
      <c r="H40" s="8">
        <f t="shared" si="2"/>
        <v>28.840314728734512</v>
      </c>
      <c r="I40" s="15">
        <v>2.8</v>
      </c>
      <c r="J40" s="16">
        <v>408.1</v>
      </c>
    </row>
    <row r="41" spans="1:10" x14ac:dyDescent="0.2">
      <c r="A41" s="5" t="s">
        <v>18</v>
      </c>
      <c r="B41" s="5" t="s">
        <v>45</v>
      </c>
      <c r="C41" s="14">
        <v>0.125</v>
      </c>
      <c r="D41" s="14">
        <v>8.5900000000000004E-2</v>
      </c>
      <c r="E41" s="9">
        <f t="shared" si="1"/>
        <v>1.0737500000000001E-2</v>
      </c>
      <c r="F41" s="8">
        <f>B3*E41</f>
        <v>1073.75</v>
      </c>
      <c r="G41" s="14">
        <v>0.25884111797353621</v>
      </c>
      <c r="H41" s="8">
        <f t="shared" si="2"/>
        <v>277.93065042408449</v>
      </c>
      <c r="I41" s="15">
        <v>7.21</v>
      </c>
      <c r="J41" s="16">
        <v>356.6</v>
      </c>
    </row>
    <row r="43" spans="1:10" x14ac:dyDescent="0.2">
      <c r="A43" s="5" t="s">
        <v>22</v>
      </c>
      <c r="B43" s="5" t="s">
        <v>50</v>
      </c>
      <c r="C43" s="14">
        <v>0.125</v>
      </c>
      <c r="D43" s="14">
        <v>0.60130000000000006</v>
      </c>
      <c r="E43" s="9">
        <f>C43*D43</f>
        <v>7.5162500000000007E-2</v>
      </c>
      <c r="F43" s="8">
        <f>B3*E43</f>
        <v>7516.2500000000009</v>
      </c>
      <c r="G43" s="14">
        <v>0.20181423695599979</v>
      </c>
      <c r="H43" s="8">
        <f>F43*G43</f>
        <v>1516.8862585205336</v>
      </c>
      <c r="I43" s="15">
        <v>1.31</v>
      </c>
      <c r="J43" s="16">
        <v>705</v>
      </c>
    </row>
    <row r="44" spans="1:10" x14ac:dyDescent="0.2">
      <c r="A44" s="5" t="s">
        <v>22</v>
      </c>
      <c r="B44" s="5" t="s">
        <v>52</v>
      </c>
      <c r="C44" s="14">
        <v>0.125</v>
      </c>
      <c r="D44" s="14">
        <v>0.17299999999999999</v>
      </c>
      <c r="E44" s="9">
        <f>C44*D44</f>
        <v>2.1624999999999998E-2</v>
      </c>
      <c r="F44" s="8">
        <f>B3*E44</f>
        <v>2162.5</v>
      </c>
      <c r="G44" s="14">
        <v>0.22992520939506031</v>
      </c>
      <c r="H44" s="8">
        <f>F44*G44</f>
        <v>497.21326531681791</v>
      </c>
      <c r="I44" s="15">
        <v>0.84</v>
      </c>
      <c r="J44" s="16">
        <v>1779</v>
      </c>
    </row>
    <row r="45" spans="1:10" x14ac:dyDescent="0.2">
      <c r="A45" s="5" t="s">
        <v>22</v>
      </c>
      <c r="B45" s="5" t="s">
        <v>54</v>
      </c>
      <c r="C45" s="14">
        <v>0.125</v>
      </c>
      <c r="D45" s="14">
        <v>8.3199999999999996E-2</v>
      </c>
      <c r="E45" s="9">
        <f>C45*D45</f>
        <v>1.04E-2</v>
      </c>
      <c r="F45" s="8">
        <f>B3*E45</f>
        <v>1040</v>
      </c>
      <c r="G45" s="14">
        <v>0.28158882734069929</v>
      </c>
      <c r="H45" s="8">
        <f>F45*G45</f>
        <v>292.85238043432724</v>
      </c>
      <c r="I45" s="15">
        <v>0.76</v>
      </c>
      <c r="J45" s="16">
        <v>3596</v>
      </c>
    </row>
    <row r="46" spans="1:10" x14ac:dyDescent="0.2">
      <c r="A46" s="5" t="s">
        <v>22</v>
      </c>
      <c r="B46" s="5" t="s">
        <v>55</v>
      </c>
      <c r="C46" s="14">
        <v>0.125</v>
      </c>
      <c r="D46" s="14">
        <v>5.4100000000000002E-2</v>
      </c>
      <c r="E46" s="9">
        <f>C46*D46</f>
        <v>6.7625000000000003E-3</v>
      </c>
      <c r="F46" s="8">
        <f>B3*E46</f>
        <v>676.25</v>
      </c>
      <c r="G46" s="14">
        <v>0.13657447491611091</v>
      </c>
      <c r="H46" s="8">
        <f>F46*G46</f>
        <v>92.358488662020008</v>
      </c>
      <c r="I46" s="15">
        <v>0.56999999999999995</v>
      </c>
      <c r="J46" s="16">
        <v>2020</v>
      </c>
    </row>
    <row r="47" spans="1:10" x14ac:dyDescent="0.2">
      <c r="A47" s="5" t="s">
        <v>22</v>
      </c>
      <c r="B47" s="5" t="s">
        <v>53</v>
      </c>
      <c r="C47" s="14">
        <v>0.125</v>
      </c>
      <c r="D47" s="14">
        <v>8.8399999999999992E-2</v>
      </c>
      <c r="E47" s="9">
        <f>C47*D47</f>
        <v>1.1049999999999999E-2</v>
      </c>
      <c r="F47" s="8">
        <f>B3*E47</f>
        <v>1105</v>
      </c>
      <c r="G47" s="14">
        <v>0.29823453644037468</v>
      </c>
      <c r="H47" s="8">
        <f>F47*G47</f>
        <v>329.54916276661402</v>
      </c>
      <c r="I47" s="15">
        <v>0.85</v>
      </c>
      <c r="J47" s="16">
        <v>4579</v>
      </c>
    </row>
    <row r="49" spans="1:10" x14ac:dyDescent="0.2">
      <c r="A49" s="5" t="s">
        <v>20</v>
      </c>
      <c r="B49" s="5" t="s">
        <v>46</v>
      </c>
      <c r="C49" s="14">
        <v>0.125</v>
      </c>
      <c r="D49" s="14">
        <v>0.30520000000000003</v>
      </c>
      <c r="E49" s="9">
        <f t="shared" ref="E49:E63" si="3">C49*D49</f>
        <v>3.8150000000000003E-2</v>
      </c>
      <c r="F49" s="8">
        <f>B3*E49</f>
        <v>3815.0000000000005</v>
      </c>
      <c r="G49" s="14">
        <v>0.16363886831279811</v>
      </c>
      <c r="H49" s="8">
        <f t="shared" ref="H49:H63" si="4">F49*G49</f>
        <v>624.28228261332492</v>
      </c>
      <c r="I49" s="15">
        <v>4.26</v>
      </c>
      <c r="J49" s="16">
        <v>149.09</v>
      </c>
    </row>
    <row r="50" spans="1:10" x14ac:dyDescent="0.2">
      <c r="A50" s="5" t="s">
        <v>20</v>
      </c>
      <c r="B50" s="5" t="s">
        <v>59</v>
      </c>
      <c r="C50" s="14">
        <v>0.125</v>
      </c>
      <c r="D50" s="14">
        <v>1.0800000000000001E-2</v>
      </c>
      <c r="E50" s="9">
        <f t="shared" si="3"/>
        <v>1.3500000000000001E-3</v>
      </c>
      <c r="F50" s="8">
        <f>B3*E50</f>
        <v>135</v>
      </c>
      <c r="G50" s="14">
        <v>5.7237530744910788E-2</v>
      </c>
      <c r="H50" s="8">
        <f t="shared" si="4"/>
        <v>7.7270666505629562</v>
      </c>
      <c r="I50" s="15">
        <v>1.53</v>
      </c>
      <c r="J50" s="16">
        <v>553.53</v>
      </c>
    </row>
    <row r="51" spans="1:10" x14ac:dyDescent="0.2">
      <c r="A51" s="5" t="s">
        <v>20</v>
      </c>
      <c r="B51" s="5" t="s">
        <v>49</v>
      </c>
      <c r="C51" s="14">
        <v>0.125</v>
      </c>
      <c r="D51" s="14">
        <v>2E-3</v>
      </c>
      <c r="E51" s="9">
        <f t="shared" si="3"/>
        <v>2.5000000000000001E-4</v>
      </c>
      <c r="F51" s="8">
        <f>B3*E51</f>
        <v>25</v>
      </c>
      <c r="G51" s="14">
        <v>3.4808358551160698E-2</v>
      </c>
      <c r="H51" s="8">
        <f t="shared" si="4"/>
        <v>0.87020896377901746</v>
      </c>
      <c r="I51" s="15">
        <v>1.01</v>
      </c>
      <c r="J51" s="16">
        <v>1262.53</v>
      </c>
    </row>
    <row r="52" spans="1:10" x14ac:dyDescent="0.2">
      <c r="A52" s="5" t="s">
        <v>20</v>
      </c>
      <c r="B52" s="5" t="s">
        <v>60</v>
      </c>
      <c r="C52" s="14">
        <v>0.125</v>
      </c>
      <c r="D52" s="14">
        <v>7.3000000000000001E-3</v>
      </c>
      <c r="E52" s="9">
        <f t="shared" si="3"/>
        <v>9.1250000000000001E-4</v>
      </c>
      <c r="F52" s="8">
        <f>B3*E52</f>
        <v>91.25</v>
      </c>
      <c r="G52" s="14">
        <v>4.7725084123234861E-2</v>
      </c>
      <c r="H52" s="8">
        <f t="shared" si="4"/>
        <v>4.3549139262451808</v>
      </c>
      <c r="I52" s="15">
        <v>1.0900000000000001</v>
      </c>
      <c r="J52" s="16">
        <v>486.55</v>
      </c>
    </row>
    <row r="53" spans="1:10" x14ac:dyDescent="0.2">
      <c r="A53" s="5" t="s">
        <v>20</v>
      </c>
      <c r="B53" s="5" t="s">
        <v>43</v>
      </c>
      <c r="C53" s="14">
        <v>0.125</v>
      </c>
      <c r="D53" s="14">
        <v>4.1799999999999997E-2</v>
      </c>
      <c r="E53" s="9">
        <f t="shared" si="3"/>
        <v>5.2249999999999996E-3</v>
      </c>
      <c r="F53" s="8">
        <f>B3*E53</f>
        <v>522.5</v>
      </c>
      <c r="G53" s="14">
        <v>9.243382392575511E-2</v>
      </c>
      <c r="H53" s="8">
        <f t="shared" si="4"/>
        <v>48.296673001207047</v>
      </c>
      <c r="I53" s="15">
        <v>1.85</v>
      </c>
      <c r="J53" s="16">
        <v>267.04000000000002</v>
      </c>
    </row>
    <row r="54" spans="1:10" x14ac:dyDescent="0.2">
      <c r="A54" s="5" t="s">
        <v>20</v>
      </c>
      <c r="B54" s="5" t="s">
        <v>64</v>
      </c>
      <c r="C54" s="14">
        <v>0.125</v>
      </c>
      <c r="D54" s="14">
        <v>3.2000000000000002E-3</v>
      </c>
      <c r="E54" s="9">
        <f t="shared" si="3"/>
        <v>4.0000000000000002E-4</v>
      </c>
      <c r="F54" s="8">
        <f>B3*E54</f>
        <v>40</v>
      </c>
      <c r="G54" s="14">
        <v>3.3060293129844487E-2</v>
      </c>
      <c r="H54" s="8">
        <f t="shared" si="4"/>
        <v>1.3224117251937795</v>
      </c>
      <c r="I54" s="15">
        <v>1.01</v>
      </c>
      <c r="J54" s="16">
        <v>727.1</v>
      </c>
    </row>
    <row r="55" spans="1:10" x14ac:dyDescent="0.2">
      <c r="A55" s="5" t="s">
        <v>20</v>
      </c>
      <c r="B55" s="5" t="s">
        <v>44</v>
      </c>
      <c r="C55" s="14">
        <v>0.125</v>
      </c>
      <c r="D55" s="14">
        <v>0.39879999999999999</v>
      </c>
      <c r="E55" s="9">
        <f t="shared" si="3"/>
        <v>4.9849999999999998E-2</v>
      </c>
      <c r="F55" s="8">
        <f>B3*E55</f>
        <v>4985</v>
      </c>
      <c r="G55" s="14">
        <v>0.2598882343822555</v>
      </c>
      <c r="H55" s="8">
        <f t="shared" si="4"/>
        <v>1295.5428483955436</v>
      </c>
      <c r="I55" s="15">
        <v>3.13</v>
      </c>
      <c r="J55" s="16">
        <v>141.11000000000001</v>
      </c>
    </row>
    <row r="56" spans="1:10" x14ac:dyDescent="0.2">
      <c r="A56" s="5" t="s">
        <v>20</v>
      </c>
      <c r="B56" s="5" t="s">
        <v>56</v>
      </c>
      <c r="C56" s="14">
        <v>0.125</v>
      </c>
      <c r="D56" s="14">
        <v>7.3399999999999993E-2</v>
      </c>
      <c r="E56" s="9">
        <f t="shared" si="3"/>
        <v>9.1749999999999991E-3</v>
      </c>
      <c r="F56" s="8">
        <f>B3*E56</f>
        <v>917.49999999999989</v>
      </c>
      <c r="G56" s="14">
        <v>0.12886538550677101</v>
      </c>
      <c r="H56" s="8">
        <f t="shared" si="4"/>
        <v>118.23399120246239</v>
      </c>
      <c r="I56" s="15">
        <v>2.61</v>
      </c>
      <c r="J56" s="16">
        <v>323.61</v>
      </c>
    </row>
    <row r="57" spans="1:10" x14ac:dyDescent="0.2">
      <c r="A57" s="5" t="s">
        <v>20</v>
      </c>
      <c r="B57" s="5" t="s">
        <v>57</v>
      </c>
      <c r="C57" s="14">
        <v>0.125</v>
      </c>
      <c r="D57" s="14">
        <v>4.99E-2</v>
      </c>
      <c r="E57" s="9">
        <f t="shared" si="3"/>
        <v>6.2375E-3</v>
      </c>
      <c r="F57" s="8">
        <f>B3*E57</f>
        <v>623.75</v>
      </c>
      <c r="G57" s="14">
        <v>0.10417987081779111</v>
      </c>
      <c r="H57" s="8">
        <f t="shared" si="4"/>
        <v>64.982194422597203</v>
      </c>
      <c r="I57" s="15">
        <v>2.1800000000000002</v>
      </c>
      <c r="J57" s="16">
        <v>317.39999999999998</v>
      </c>
    </row>
    <row r="58" spans="1:10" x14ac:dyDescent="0.2">
      <c r="A58" s="5" t="s">
        <v>20</v>
      </c>
      <c r="B58" s="5" t="s">
        <v>62</v>
      </c>
      <c r="C58" s="14">
        <v>0.125</v>
      </c>
      <c r="D58" s="14">
        <v>1.04E-2</v>
      </c>
      <c r="E58" s="9">
        <f t="shared" si="3"/>
        <v>1.2999999999999999E-3</v>
      </c>
      <c r="F58" s="8">
        <f>B3*E58</f>
        <v>130</v>
      </c>
      <c r="G58" s="14">
        <v>7.5742052359749054E-2</v>
      </c>
      <c r="H58" s="8">
        <f t="shared" si="4"/>
        <v>9.8464668067673777</v>
      </c>
      <c r="I58" s="15">
        <v>1.53</v>
      </c>
      <c r="J58" s="16">
        <v>763.98</v>
      </c>
    </row>
    <row r="59" spans="1:10" x14ac:dyDescent="0.2">
      <c r="A59" s="5" t="s">
        <v>20</v>
      </c>
      <c r="B59" s="5" t="s">
        <v>48</v>
      </c>
      <c r="C59" s="14">
        <v>0.125</v>
      </c>
      <c r="D59" s="14">
        <v>7.4000000000000003E-3</v>
      </c>
      <c r="E59" s="9">
        <f t="shared" si="3"/>
        <v>9.2500000000000004E-4</v>
      </c>
      <c r="F59" s="8">
        <f>B3*E59</f>
        <v>92.5</v>
      </c>
      <c r="G59" s="14">
        <v>5.6236613514713499E-2</v>
      </c>
      <c r="H59" s="8">
        <f t="shared" si="4"/>
        <v>5.2018867501109982</v>
      </c>
      <c r="I59" s="15">
        <v>1.4</v>
      </c>
      <c r="J59" s="16">
        <v>735.54</v>
      </c>
    </row>
    <row r="60" spans="1:10" x14ac:dyDescent="0.2">
      <c r="A60" s="5" t="s">
        <v>20</v>
      </c>
      <c r="B60" s="5" t="s">
        <v>61</v>
      </c>
      <c r="C60" s="14">
        <v>0.125</v>
      </c>
      <c r="D60" s="14">
        <v>5.5000000000000014E-3</v>
      </c>
      <c r="E60" s="9">
        <f t="shared" si="3"/>
        <v>6.8750000000000018E-4</v>
      </c>
      <c r="F60" s="8">
        <f>B3*E60</f>
        <v>68.750000000000014</v>
      </c>
      <c r="G60" s="14">
        <v>3.5871851794559401E-2</v>
      </c>
      <c r="H60" s="8">
        <f t="shared" si="4"/>
        <v>2.4661898108759592</v>
      </c>
      <c r="I60" s="15">
        <v>1.29</v>
      </c>
      <c r="J60" s="16">
        <v>592.92999999999995</v>
      </c>
    </row>
    <row r="61" spans="1:10" x14ac:dyDescent="0.2">
      <c r="A61" s="5" t="s">
        <v>20</v>
      </c>
      <c r="B61" s="5" t="s">
        <v>45</v>
      </c>
      <c r="C61" s="14">
        <v>0.125</v>
      </c>
      <c r="D61" s="14">
        <v>6.8099999999999994E-2</v>
      </c>
      <c r="E61" s="9">
        <f t="shared" si="3"/>
        <v>8.5124999999999992E-3</v>
      </c>
      <c r="F61" s="8">
        <f>B3*E61</f>
        <v>851.24999999999989</v>
      </c>
      <c r="G61" s="14">
        <v>0.1188260555884741</v>
      </c>
      <c r="H61" s="8">
        <f t="shared" si="4"/>
        <v>101.15067981968856</v>
      </c>
      <c r="I61" s="15">
        <v>2.17</v>
      </c>
      <c r="J61" s="16">
        <v>256.2</v>
      </c>
    </row>
    <row r="62" spans="1:10" x14ac:dyDescent="0.2">
      <c r="A62" s="5" t="s">
        <v>20</v>
      </c>
      <c r="B62" s="5" t="s">
        <v>58</v>
      </c>
      <c r="C62" s="14">
        <v>0.125</v>
      </c>
      <c r="D62" s="14">
        <v>1.23E-2</v>
      </c>
      <c r="E62" s="9">
        <f t="shared" si="3"/>
        <v>1.5375E-3</v>
      </c>
      <c r="F62" s="8">
        <f>B3*E62</f>
        <v>153.75</v>
      </c>
      <c r="G62" s="14">
        <v>6.1130900343341697E-2</v>
      </c>
      <c r="H62" s="8">
        <f t="shared" si="4"/>
        <v>9.3988759277887866</v>
      </c>
      <c r="I62" s="15">
        <v>1.46</v>
      </c>
      <c r="J62" s="16">
        <v>495.84</v>
      </c>
    </row>
    <row r="63" spans="1:10" x14ac:dyDescent="0.2">
      <c r="A63" s="5" t="s">
        <v>20</v>
      </c>
      <c r="B63" s="5" t="s">
        <v>63</v>
      </c>
      <c r="C63" s="14">
        <v>0.125</v>
      </c>
      <c r="D63" s="14">
        <v>4.0000000000000001E-3</v>
      </c>
      <c r="E63" s="9">
        <f t="shared" si="3"/>
        <v>5.0000000000000001E-4</v>
      </c>
      <c r="F63" s="8">
        <f>B3*E63</f>
        <v>50</v>
      </c>
      <c r="G63" s="14">
        <v>4.0976469350020722E-2</v>
      </c>
      <c r="H63" s="8">
        <f t="shared" si="4"/>
        <v>2.0488234675010362</v>
      </c>
      <c r="I63" s="15">
        <v>0.97</v>
      </c>
      <c r="J63" s="16">
        <v>674.92</v>
      </c>
    </row>
    <row r="65" spans="1:10" x14ac:dyDescent="0.2">
      <c r="A65" s="5" t="s">
        <v>19</v>
      </c>
      <c r="B65" s="5" t="s">
        <v>67</v>
      </c>
      <c r="C65" s="14">
        <v>0.125</v>
      </c>
      <c r="D65" s="14">
        <v>0.16969999999999999</v>
      </c>
      <c r="E65" s="9">
        <f t="shared" ref="E65:E70" si="5">C65*D65</f>
        <v>2.1212499999999999E-2</v>
      </c>
      <c r="F65" s="8">
        <f>B3*E65</f>
        <v>2121.25</v>
      </c>
      <c r="G65" s="14">
        <v>0.17929380490060101</v>
      </c>
      <c r="H65" s="8">
        <f t="shared" ref="H65:H70" si="6">F65*G65</f>
        <v>380.32698364539988</v>
      </c>
      <c r="I65" s="15">
        <v>1.44</v>
      </c>
      <c r="J65" s="16">
        <v>19.28</v>
      </c>
    </row>
    <row r="66" spans="1:10" x14ac:dyDescent="0.2">
      <c r="A66" s="5" t="s">
        <v>19</v>
      </c>
      <c r="B66" s="5" t="s">
        <v>69</v>
      </c>
      <c r="C66" s="14">
        <v>0.125</v>
      </c>
      <c r="D66" s="14">
        <v>5.7599999999999998E-2</v>
      </c>
      <c r="E66" s="9">
        <f t="shared" si="5"/>
        <v>7.1999999999999998E-3</v>
      </c>
      <c r="F66" s="8">
        <f>B3*E66</f>
        <v>720</v>
      </c>
      <c r="G66" s="14">
        <v>0.12592523808934869</v>
      </c>
      <c r="H66" s="8">
        <f t="shared" si="6"/>
        <v>90.666171424331054</v>
      </c>
      <c r="I66" s="15">
        <v>0.84</v>
      </c>
      <c r="J66" s="16">
        <v>23.23</v>
      </c>
    </row>
    <row r="67" spans="1:10" x14ac:dyDescent="0.2">
      <c r="A67" s="5" t="s">
        <v>19</v>
      </c>
      <c r="B67" s="5" t="s">
        <v>52</v>
      </c>
      <c r="C67" s="14">
        <v>0.125</v>
      </c>
      <c r="D67" s="14">
        <v>7.0400000000000004E-2</v>
      </c>
      <c r="E67" s="9">
        <f t="shared" si="5"/>
        <v>8.8000000000000005E-3</v>
      </c>
      <c r="F67" s="8">
        <f>B3*E67</f>
        <v>880</v>
      </c>
      <c r="G67" s="14">
        <v>0.10434506088802779</v>
      </c>
      <c r="H67" s="8">
        <f t="shared" si="6"/>
        <v>91.823653581464455</v>
      </c>
      <c r="I67" s="15">
        <v>0.9</v>
      </c>
      <c r="J67" s="16">
        <v>17.09</v>
      </c>
    </row>
    <row r="68" spans="1:10" x14ac:dyDescent="0.2">
      <c r="A68" s="5" t="s">
        <v>19</v>
      </c>
      <c r="B68" s="5" t="s">
        <v>68</v>
      </c>
      <c r="C68" s="14">
        <v>0.125</v>
      </c>
      <c r="D68" s="14">
        <v>4.7E-2</v>
      </c>
      <c r="E68" s="9">
        <f t="shared" si="5"/>
        <v>5.875E-3</v>
      </c>
      <c r="F68" s="8">
        <f>B3*E68</f>
        <v>587.5</v>
      </c>
      <c r="G68" s="14">
        <v>8.1145476585578274E-2</v>
      </c>
      <c r="H68" s="8">
        <f t="shared" si="6"/>
        <v>47.672967494027233</v>
      </c>
      <c r="I68" s="15">
        <v>0.95</v>
      </c>
      <c r="J68" s="16">
        <v>20.25</v>
      </c>
    </row>
    <row r="69" spans="1:10" x14ac:dyDescent="0.2">
      <c r="A69" s="5" t="s">
        <v>19</v>
      </c>
      <c r="B69" s="5" t="s">
        <v>66</v>
      </c>
      <c r="C69" s="14">
        <v>0.125</v>
      </c>
      <c r="D69" s="14">
        <v>7.7800000000000008E-2</v>
      </c>
      <c r="E69" s="9">
        <f t="shared" si="5"/>
        <v>9.725000000000001E-3</v>
      </c>
      <c r="F69" s="8">
        <f>B3*E69</f>
        <v>972.50000000000011</v>
      </c>
      <c r="G69" s="14">
        <v>0.1221737101234532</v>
      </c>
      <c r="H69" s="8">
        <f t="shared" si="6"/>
        <v>118.81393309505825</v>
      </c>
      <c r="I69" s="15">
        <v>0.85</v>
      </c>
      <c r="J69" s="16">
        <v>16.829999999999998</v>
      </c>
    </row>
    <row r="70" spans="1:10" x14ac:dyDescent="0.2">
      <c r="A70" s="5" t="s">
        <v>19</v>
      </c>
      <c r="B70" s="5" t="s">
        <v>53</v>
      </c>
      <c r="C70" s="14">
        <v>0.125</v>
      </c>
      <c r="D70" s="14">
        <v>0.57750000000000001</v>
      </c>
      <c r="E70" s="9">
        <f t="shared" si="5"/>
        <v>7.2187500000000002E-2</v>
      </c>
      <c r="F70" s="8">
        <f>B3*E70</f>
        <v>7218.75</v>
      </c>
      <c r="G70" s="14">
        <v>0.31989785882370081</v>
      </c>
      <c r="H70" s="8">
        <f t="shared" si="6"/>
        <v>2309.2626683835902</v>
      </c>
      <c r="I70" s="15">
        <v>0.9</v>
      </c>
      <c r="J70" s="16">
        <v>6.34</v>
      </c>
    </row>
    <row r="72" spans="1:10" x14ac:dyDescent="0.2">
      <c r="A72" s="5" t="s">
        <v>23</v>
      </c>
      <c r="B72" s="5" t="s">
        <v>70</v>
      </c>
      <c r="C72" s="14">
        <v>0.125</v>
      </c>
      <c r="D72" s="14">
        <v>1</v>
      </c>
      <c r="E72" s="9">
        <f>C72*D72</f>
        <v>0.125</v>
      </c>
      <c r="F72" s="8">
        <f>B3*E72</f>
        <v>12500</v>
      </c>
      <c r="G72" s="14">
        <v>0.2445482895588334</v>
      </c>
      <c r="H72" s="8">
        <f>F72*G72</f>
        <v>3056.8536194854173</v>
      </c>
      <c r="I72" s="15">
        <v>2.71</v>
      </c>
      <c r="J72" s="16">
        <v>410</v>
      </c>
    </row>
    <row r="74" spans="1:10" x14ac:dyDescent="0.2">
      <c r="A74" s="10" t="s">
        <v>24</v>
      </c>
      <c r="B74" s="17"/>
      <c r="C74" s="17"/>
      <c r="D74" s="17"/>
      <c r="E74" s="11">
        <f>SUMIF(A25:A72,"&lt;&gt;",E25:E72)</f>
        <v>0.99999999999999967</v>
      </c>
      <c r="F74" s="12">
        <f>SUMIF(A25:A72,"&lt;&gt;",F25:F72)</f>
        <v>100000</v>
      </c>
      <c r="G74" s="17"/>
      <c r="H74" s="12">
        <f>SUMIF(A25:A72,"&lt;&gt;",H25:H72)</f>
        <v>26574.974612058431</v>
      </c>
      <c r="I74" s="17"/>
      <c r="J74" s="17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Portfolio Allocation</vt:lpstr>
      <vt:lpstr>Equal Weight</vt:lpstr>
      <vt:lpstr>Inv Volatility</vt:lpstr>
      <vt:lpstr>Sharpe Weighted</vt:lpstr>
      <vt:lpstr>Risk Parity</vt:lpstr>
      <vt:lpstr>Max Sharpe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Gautam Katwe</cp:lastModifiedBy>
  <dcterms:created xsi:type="dcterms:W3CDTF">2026-01-14T11:25:34Z</dcterms:created>
  <dcterms:modified xsi:type="dcterms:W3CDTF">2026-01-14T11:56:55Z</dcterms:modified>
</cp:coreProperties>
</file>