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sureshpatil/Desktop/Portfolio Creation/"/>
    </mc:Choice>
  </mc:AlternateContent>
  <xr:revisionPtr revIDLastSave="0" documentId="13_ncr:1_{D4972513-1D21-5444-BF2B-A0C74FAD259E}" xr6:coauthVersionLast="47" xr6:coauthVersionMax="47" xr10:uidLastSave="{00000000-0000-0000-0000-000000000000}"/>
  <bookViews>
    <workbookView xWindow="-3200" yWindow="-20980" windowWidth="38400" windowHeight="19720" xr2:uid="{00000000-000D-0000-FFFF-FFFF00000000}"/>
  </bookViews>
  <sheets>
    <sheet name="Strategy_Statistics" sheetId="4" r:id="rId1"/>
    <sheet name="Pair_Capital_Distribution" sheetId="5" r:id="rId2"/>
    <sheet name="Strategy_Capital_Distribution" sheetId="6" r:id="rId3"/>
    <sheet name="Final_Portfolio_Analysis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3" i="4" l="1"/>
  <c r="R74" i="4"/>
  <c r="R75" i="4"/>
  <c r="R76" i="4"/>
  <c r="R77" i="4"/>
  <c r="R72" i="4"/>
  <c r="R66" i="4"/>
  <c r="R67" i="4"/>
  <c r="R6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45" i="4"/>
  <c r="R35" i="4"/>
  <c r="R36" i="4"/>
  <c r="R37" i="4"/>
  <c r="R38" i="4"/>
  <c r="R39" i="4"/>
  <c r="R40" i="4"/>
  <c r="R34" i="4"/>
  <c r="R22" i="4"/>
  <c r="R23" i="4"/>
  <c r="R24" i="4"/>
  <c r="R25" i="4"/>
  <c r="R26" i="4"/>
  <c r="R27" i="4"/>
  <c r="R28" i="4"/>
  <c r="R29" i="4"/>
  <c r="R21" i="4"/>
  <c r="R15" i="4"/>
  <c r="R14" i="4"/>
  <c r="R9" i="4"/>
  <c r="R8" i="4"/>
  <c r="R7" i="4"/>
  <c r="R16" i="4"/>
  <c r="G8" i="4"/>
  <c r="G7" i="4"/>
  <c r="B22" i="6"/>
  <c r="B21" i="6"/>
  <c r="B20" i="6"/>
  <c r="B19" i="6"/>
  <c r="L13" i="6"/>
  <c r="K13" i="6"/>
  <c r="J13" i="6"/>
  <c r="I13" i="6"/>
  <c r="H13" i="6"/>
  <c r="F13" i="6"/>
  <c r="B13" i="6"/>
  <c r="G12" i="6"/>
  <c r="D12" i="6"/>
  <c r="E12" i="6" s="1"/>
  <c r="G11" i="6"/>
  <c r="D11" i="6"/>
  <c r="E11" i="6" s="1"/>
  <c r="G10" i="6"/>
  <c r="D10" i="6"/>
  <c r="E10" i="6" s="1"/>
  <c r="G9" i="6"/>
  <c r="E9" i="6"/>
  <c r="D9" i="6"/>
  <c r="G8" i="6"/>
  <c r="E8" i="6"/>
  <c r="D8" i="6"/>
  <c r="G7" i="6"/>
  <c r="E7" i="6"/>
  <c r="D7" i="6"/>
  <c r="G6" i="6"/>
  <c r="D18" i="6" s="1"/>
  <c r="E6" i="6"/>
  <c r="D6" i="6"/>
  <c r="D22" i="6" s="1"/>
  <c r="B132" i="5"/>
  <c r="B131" i="5"/>
  <c r="B130" i="5"/>
  <c r="B129" i="5"/>
  <c r="L124" i="5"/>
  <c r="J124" i="5"/>
  <c r="G124" i="5"/>
  <c r="F124" i="5"/>
  <c r="E124" i="5"/>
  <c r="D124" i="5"/>
  <c r="C124" i="5"/>
  <c r="K123" i="5"/>
  <c r="H123" i="5"/>
  <c r="I123" i="5" s="1"/>
  <c r="B123" i="5"/>
  <c r="K122" i="5"/>
  <c r="H122" i="5"/>
  <c r="I122" i="5" s="1"/>
  <c r="B122" i="5"/>
  <c r="K121" i="5"/>
  <c r="H121" i="5"/>
  <c r="I121" i="5" s="1"/>
  <c r="B121" i="5"/>
  <c r="K120" i="5"/>
  <c r="H120" i="5"/>
  <c r="I120" i="5" s="1"/>
  <c r="B120" i="5"/>
  <c r="K119" i="5"/>
  <c r="K124" i="5" s="1"/>
  <c r="H119" i="5"/>
  <c r="I119" i="5" s="1"/>
  <c r="B119" i="5"/>
  <c r="B128" i="5" s="1"/>
  <c r="B114" i="5"/>
  <c r="B113" i="5"/>
  <c r="B112" i="5"/>
  <c r="B111" i="5"/>
  <c r="L106" i="5"/>
  <c r="J106" i="5"/>
  <c r="G106" i="5"/>
  <c r="F106" i="5"/>
  <c r="E106" i="5"/>
  <c r="D106" i="5"/>
  <c r="C106" i="5"/>
  <c r="K105" i="5"/>
  <c r="H105" i="5" s="1"/>
  <c r="I105" i="5" s="1"/>
  <c r="B105" i="5"/>
  <c r="K104" i="5"/>
  <c r="H104" i="5" s="1"/>
  <c r="I104" i="5" s="1"/>
  <c r="B104" i="5"/>
  <c r="B110" i="5" s="1"/>
  <c r="B99" i="5"/>
  <c r="B98" i="5"/>
  <c r="B97" i="5"/>
  <c r="B96" i="5"/>
  <c r="L91" i="5"/>
  <c r="J91" i="5"/>
  <c r="G91" i="5"/>
  <c r="F91" i="5"/>
  <c r="E91" i="5"/>
  <c r="D91" i="5"/>
  <c r="C91" i="5"/>
  <c r="K90" i="5"/>
  <c r="H90" i="5" s="1"/>
  <c r="I90" i="5" s="1"/>
  <c r="B90" i="5"/>
  <c r="K89" i="5"/>
  <c r="H89" i="5"/>
  <c r="I89" i="5" s="1"/>
  <c r="B89" i="5"/>
  <c r="K88" i="5"/>
  <c r="H88" i="5" s="1"/>
  <c r="I88" i="5" s="1"/>
  <c r="B88" i="5"/>
  <c r="K87" i="5"/>
  <c r="H87" i="5"/>
  <c r="I87" i="5" s="1"/>
  <c r="B87" i="5"/>
  <c r="K86" i="5"/>
  <c r="H86" i="5" s="1"/>
  <c r="I86" i="5" s="1"/>
  <c r="B86" i="5"/>
  <c r="K85" i="5"/>
  <c r="H85" i="5"/>
  <c r="I85" i="5" s="1"/>
  <c r="B85" i="5"/>
  <c r="K84" i="5"/>
  <c r="H84" i="5" s="1"/>
  <c r="I84" i="5" s="1"/>
  <c r="B84" i="5"/>
  <c r="K83" i="5"/>
  <c r="H83" i="5"/>
  <c r="I83" i="5" s="1"/>
  <c r="B83" i="5"/>
  <c r="K82" i="5"/>
  <c r="H82" i="5" s="1"/>
  <c r="I82" i="5" s="1"/>
  <c r="B82" i="5"/>
  <c r="K81" i="5"/>
  <c r="H81" i="5"/>
  <c r="I81" i="5" s="1"/>
  <c r="B81" i="5"/>
  <c r="K80" i="5"/>
  <c r="H80" i="5" s="1"/>
  <c r="I80" i="5" s="1"/>
  <c r="B80" i="5"/>
  <c r="K79" i="5"/>
  <c r="H79" i="5"/>
  <c r="I79" i="5" s="1"/>
  <c r="B79" i="5"/>
  <c r="K78" i="5"/>
  <c r="H78" i="5" s="1"/>
  <c r="I78" i="5" s="1"/>
  <c r="B78" i="5"/>
  <c r="K77" i="5"/>
  <c r="H77" i="5"/>
  <c r="I77" i="5" s="1"/>
  <c r="B77" i="5"/>
  <c r="K76" i="5"/>
  <c r="K91" i="5" s="1"/>
  <c r="B76" i="5"/>
  <c r="B95" i="5" s="1"/>
  <c r="B71" i="5"/>
  <c r="B70" i="5"/>
  <c r="B69" i="5"/>
  <c r="B68" i="5"/>
  <c r="L63" i="5"/>
  <c r="J63" i="5"/>
  <c r="G63" i="5"/>
  <c r="F63" i="5"/>
  <c r="E63" i="5"/>
  <c r="D63" i="5"/>
  <c r="C63" i="5"/>
  <c r="K62" i="5"/>
  <c r="I62" i="5"/>
  <c r="H62" i="5"/>
  <c r="B62" i="5"/>
  <c r="K61" i="5"/>
  <c r="H61" i="5" s="1"/>
  <c r="I61" i="5" s="1"/>
  <c r="B61" i="5"/>
  <c r="K60" i="5"/>
  <c r="I60" i="5"/>
  <c r="H60" i="5"/>
  <c r="B60" i="5"/>
  <c r="K59" i="5"/>
  <c r="H59" i="5" s="1"/>
  <c r="I59" i="5" s="1"/>
  <c r="B59" i="5"/>
  <c r="K58" i="5"/>
  <c r="I58" i="5"/>
  <c r="H58" i="5"/>
  <c r="B58" i="5"/>
  <c r="K57" i="5"/>
  <c r="K63" i="5" s="1"/>
  <c r="B57" i="5"/>
  <c r="B63" i="5" s="1"/>
  <c r="B52" i="5"/>
  <c r="B51" i="5"/>
  <c r="B50" i="5"/>
  <c r="B49" i="5"/>
  <c r="B48" i="5"/>
  <c r="L44" i="5"/>
  <c r="J44" i="5"/>
  <c r="G44" i="5"/>
  <c r="F44" i="5"/>
  <c r="E44" i="5"/>
  <c r="D44" i="5"/>
  <c r="C44" i="5"/>
  <c r="K43" i="5"/>
  <c r="H43" i="5" s="1"/>
  <c r="I43" i="5" s="1"/>
  <c r="B43" i="5"/>
  <c r="K42" i="5"/>
  <c r="H42" i="5"/>
  <c r="I42" i="5" s="1"/>
  <c r="B42" i="5"/>
  <c r="K41" i="5"/>
  <c r="H41" i="5" s="1"/>
  <c r="I41" i="5" s="1"/>
  <c r="B41" i="5"/>
  <c r="K40" i="5"/>
  <c r="H40" i="5"/>
  <c r="I40" i="5" s="1"/>
  <c r="B40" i="5"/>
  <c r="K39" i="5"/>
  <c r="H39" i="5" s="1"/>
  <c r="I39" i="5" s="1"/>
  <c r="B39" i="5"/>
  <c r="K38" i="5"/>
  <c r="H38" i="5"/>
  <c r="I38" i="5" s="1"/>
  <c r="B38" i="5"/>
  <c r="K37" i="5"/>
  <c r="K44" i="5" s="1"/>
  <c r="B37" i="5"/>
  <c r="K36" i="5"/>
  <c r="H36" i="5"/>
  <c r="I36" i="5" s="1"/>
  <c r="B36" i="5"/>
  <c r="B31" i="5"/>
  <c r="B30" i="5"/>
  <c r="B29" i="5"/>
  <c r="B28" i="5"/>
  <c r="B27" i="5"/>
  <c r="L23" i="5"/>
  <c r="J23" i="5"/>
  <c r="G23" i="5"/>
  <c r="F23" i="5"/>
  <c r="E23" i="5"/>
  <c r="D23" i="5"/>
  <c r="C23" i="5"/>
  <c r="K22" i="5"/>
  <c r="H22" i="5" s="1"/>
  <c r="I22" i="5" s="1"/>
  <c r="B22" i="5"/>
  <c r="K21" i="5"/>
  <c r="K23" i="5" s="1"/>
  <c r="H21" i="5"/>
  <c r="I21" i="5" s="1"/>
  <c r="B21" i="5"/>
  <c r="B23" i="5" s="1"/>
  <c r="B16" i="5"/>
  <c r="B15" i="5"/>
  <c r="B14" i="5"/>
  <c r="B13" i="5"/>
  <c r="L8" i="5"/>
  <c r="J8" i="5"/>
  <c r="G8" i="5"/>
  <c r="F8" i="5"/>
  <c r="E8" i="5"/>
  <c r="D8" i="5"/>
  <c r="C8" i="5"/>
  <c r="B8" i="5"/>
  <c r="K7" i="5"/>
  <c r="K8" i="5" s="1"/>
  <c r="H7" i="5"/>
  <c r="I7" i="5" s="1"/>
  <c r="B7" i="5"/>
  <c r="K6" i="5"/>
  <c r="H6" i="5" s="1"/>
  <c r="I6" i="5" s="1"/>
  <c r="B6" i="5"/>
  <c r="B12" i="5" s="1" a="1"/>
  <c r="B12" i="5" s="1"/>
  <c r="Q77" i="4"/>
  <c r="P77" i="4"/>
  <c r="K77" i="4"/>
  <c r="F77" i="4"/>
  <c r="E77" i="4"/>
  <c r="C77" i="4"/>
  <c r="D77" i="4" s="1"/>
  <c r="B77" i="4"/>
  <c r="M76" i="4"/>
  <c r="G76" i="4"/>
  <c r="D76" i="4"/>
  <c r="M75" i="4"/>
  <c r="J75" i="4" s="1"/>
  <c r="I75" i="4"/>
  <c r="H75" i="4"/>
  <c r="G75" i="4"/>
  <c r="D75" i="4"/>
  <c r="M74" i="4"/>
  <c r="J74" i="4" s="1"/>
  <c r="I74" i="4"/>
  <c r="G74" i="4"/>
  <c r="H74" i="4" s="1"/>
  <c r="D74" i="4"/>
  <c r="M73" i="4"/>
  <c r="I73" i="4"/>
  <c r="G73" i="4"/>
  <c r="J73" i="4" s="1"/>
  <c r="D73" i="4"/>
  <c r="M72" i="4"/>
  <c r="G72" i="4"/>
  <c r="D72" i="4"/>
  <c r="Q67" i="4"/>
  <c r="P67" i="4"/>
  <c r="K67" i="4"/>
  <c r="F67" i="4"/>
  <c r="E67" i="4"/>
  <c r="C67" i="4"/>
  <c r="D67" i="4" s="1"/>
  <c r="B67" i="4"/>
  <c r="M66" i="4"/>
  <c r="I66" i="4"/>
  <c r="G66" i="4"/>
  <c r="J66" i="4" s="1"/>
  <c r="D66" i="4"/>
  <c r="M65" i="4"/>
  <c r="G65" i="4"/>
  <c r="D65" i="4"/>
  <c r="Q60" i="4"/>
  <c r="P60" i="4"/>
  <c r="K60" i="4"/>
  <c r="F60" i="4"/>
  <c r="E60" i="4"/>
  <c r="C60" i="4"/>
  <c r="D60" i="4" s="1"/>
  <c r="B60" i="4"/>
  <c r="M59" i="4"/>
  <c r="I59" i="4"/>
  <c r="G59" i="4"/>
  <c r="J59" i="4" s="1"/>
  <c r="D59" i="4"/>
  <c r="M58" i="4"/>
  <c r="G58" i="4"/>
  <c r="D58" i="4"/>
  <c r="M57" i="4"/>
  <c r="J57" i="4" s="1"/>
  <c r="I57" i="4"/>
  <c r="H57" i="4"/>
  <c r="G57" i="4"/>
  <c r="D57" i="4"/>
  <c r="M56" i="4"/>
  <c r="J56" i="4" s="1"/>
  <c r="I56" i="4"/>
  <c r="G56" i="4"/>
  <c r="H56" i="4" s="1"/>
  <c r="D56" i="4"/>
  <c r="M55" i="4"/>
  <c r="I55" i="4"/>
  <c r="G55" i="4"/>
  <c r="J55" i="4" s="1"/>
  <c r="D55" i="4"/>
  <c r="M54" i="4"/>
  <c r="G54" i="4"/>
  <c r="D54" i="4"/>
  <c r="M53" i="4"/>
  <c r="J53" i="4" s="1"/>
  <c r="I53" i="4"/>
  <c r="H53" i="4"/>
  <c r="G53" i="4"/>
  <c r="D53" i="4"/>
  <c r="M52" i="4"/>
  <c r="J52" i="4" s="1"/>
  <c r="I52" i="4"/>
  <c r="G52" i="4"/>
  <c r="H52" i="4" s="1"/>
  <c r="D52" i="4"/>
  <c r="M51" i="4"/>
  <c r="I51" i="4"/>
  <c r="G51" i="4"/>
  <c r="J51" i="4" s="1"/>
  <c r="D51" i="4"/>
  <c r="M50" i="4"/>
  <c r="G50" i="4"/>
  <c r="D50" i="4"/>
  <c r="M49" i="4"/>
  <c r="J49" i="4" s="1"/>
  <c r="I49" i="4"/>
  <c r="H49" i="4"/>
  <c r="G49" i="4"/>
  <c r="D49" i="4"/>
  <c r="M48" i="4"/>
  <c r="J48" i="4" s="1"/>
  <c r="I48" i="4"/>
  <c r="G48" i="4"/>
  <c r="H48" i="4" s="1"/>
  <c r="D48" i="4"/>
  <c r="M47" i="4"/>
  <c r="I47" i="4"/>
  <c r="G47" i="4"/>
  <c r="J47" i="4" s="1"/>
  <c r="D47" i="4"/>
  <c r="M46" i="4"/>
  <c r="G46" i="4"/>
  <c r="D46" i="4"/>
  <c r="M45" i="4"/>
  <c r="J45" i="4" s="1"/>
  <c r="I45" i="4"/>
  <c r="H45" i="4"/>
  <c r="G45" i="4"/>
  <c r="D45" i="4"/>
  <c r="Q40" i="4"/>
  <c r="P40" i="4"/>
  <c r="K40" i="4"/>
  <c r="F40" i="4"/>
  <c r="E40" i="4"/>
  <c r="C40" i="4"/>
  <c r="D40" i="4" s="1"/>
  <c r="B40" i="4"/>
  <c r="M39" i="4"/>
  <c r="G39" i="4"/>
  <c r="D39" i="4"/>
  <c r="M38" i="4"/>
  <c r="J38" i="4" s="1"/>
  <c r="I38" i="4"/>
  <c r="H38" i="4"/>
  <c r="G38" i="4"/>
  <c r="D38" i="4"/>
  <c r="M37" i="4"/>
  <c r="J37" i="4" s="1"/>
  <c r="I37" i="4"/>
  <c r="G37" i="4"/>
  <c r="H37" i="4" s="1"/>
  <c r="D37" i="4"/>
  <c r="M36" i="4"/>
  <c r="I36" i="4"/>
  <c r="G36" i="4"/>
  <c r="J36" i="4" s="1"/>
  <c r="D36" i="4"/>
  <c r="M35" i="4"/>
  <c r="G35" i="4"/>
  <c r="D35" i="4"/>
  <c r="M34" i="4"/>
  <c r="J34" i="4" s="1"/>
  <c r="I34" i="4"/>
  <c r="H34" i="4"/>
  <c r="G34" i="4"/>
  <c r="G40" i="4" s="1"/>
  <c r="I40" i="4" s="1"/>
  <c r="D34" i="4"/>
  <c r="Q29" i="4"/>
  <c r="P29" i="4"/>
  <c r="K29" i="4"/>
  <c r="F29" i="4"/>
  <c r="E29" i="4"/>
  <c r="C29" i="4"/>
  <c r="D29" i="4" s="1"/>
  <c r="B29" i="4"/>
  <c r="M28" i="4"/>
  <c r="G28" i="4"/>
  <c r="D28" i="4"/>
  <c r="M27" i="4"/>
  <c r="J27" i="4" s="1"/>
  <c r="I27" i="4"/>
  <c r="H27" i="4"/>
  <c r="G27" i="4"/>
  <c r="D27" i="4"/>
  <c r="M26" i="4"/>
  <c r="J26" i="4" s="1"/>
  <c r="I26" i="4"/>
  <c r="G26" i="4"/>
  <c r="H26" i="4" s="1"/>
  <c r="D26" i="4"/>
  <c r="M25" i="4"/>
  <c r="I25" i="4"/>
  <c r="G25" i="4"/>
  <c r="J25" i="4" s="1"/>
  <c r="D25" i="4"/>
  <c r="M24" i="4"/>
  <c r="G24" i="4"/>
  <c r="D24" i="4"/>
  <c r="M23" i="4"/>
  <c r="J23" i="4" s="1"/>
  <c r="I23" i="4"/>
  <c r="H23" i="4"/>
  <c r="G23" i="4"/>
  <c r="D23" i="4"/>
  <c r="M22" i="4"/>
  <c r="J22" i="4" s="1"/>
  <c r="I22" i="4"/>
  <c r="G22" i="4"/>
  <c r="H22" i="4" s="1"/>
  <c r="D22" i="4"/>
  <c r="M21" i="4"/>
  <c r="I21" i="4"/>
  <c r="G21" i="4"/>
  <c r="J21" i="4" s="1"/>
  <c r="D21" i="4"/>
  <c r="Q16" i="4"/>
  <c r="P16" i="4"/>
  <c r="K16" i="4"/>
  <c r="F16" i="4"/>
  <c r="E16" i="4"/>
  <c r="D16" i="4"/>
  <c r="C16" i="4"/>
  <c r="B16" i="4"/>
  <c r="M15" i="4"/>
  <c r="J15" i="4" s="1"/>
  <c r="I15" i="4"/>
  <c r="G15" i="4"/>
  <c r="H15" i="4" s="1"/>
  <c r="D15" i="4"/>
  <c r="M14" i="4"/>
  <c r="I14" i="4"/>
  <c r="G14" i="4"/>
  <c r="J14" i="4" s="1"/>
  <c r="J16" i="4" s="1"/>
  <c r="D14" i="4"/>
  <c r="Q9" i="4"/>
  <c r="P9" i="4"/>
  <c r="K9" i="4"/>
  <c r="F9" i="4"/>
  <c r="E9" i="4"/>
  <c r="D9" i="4"/>
  <c r="C9" i="4"/>
  <c r="B9" i="4"/>
  <c r="M8" i="4"/>
  <c r="J8" i="4" s="1"/>
  <c r="I8" i="4"/>
  <c r="H8" i="4"/>
  <c r="D8" i="4"/>
  <c r="M7" i="4"/>
  <c r="I7" i="4"/>
  <c r="J7" i="4"/>
  <c r="J9" i="4" s="1"/>
  <c r="D7" i="4"/>
  <c r="B46" i="1"/>
  <c r="H38" i="1"/>
  <c r="G38" i="1"/>
  <c r="E38" i="1"/>
  <c r="D38" i="1"/>
  <c r="B38" i="1"/>
  <c r="C38" i="1" s="1"/>
  <c r="F38" i="1" s="1"/>
  <c r="H37" i="1"/>
  <c r="G37" i="1"/>
  <c r="E37" i="1"/>
  <c r="D37" i="1"/>
  <c r="C37" i="1"/>
  <c r="F37" i="1" s="1"/>
  <c r="B37" i="1"/>
  <c r="H36" i="1"/>
  <c r="G36" i="1"/>
  <c r="E36" i="1"/>
  <c r="D36" i="1"/>
  <c r="B36" i="1"/>
  <c r="C36" i="1" s="1"/>
  <c r="F36" i="1" s="1"/>
  <c r="H35" i="1"/>
  <c r="G35" i="1"/>
  <c r="D35" i="1"/>
  <c r="C35" i="1"/>
  <c r="B35" i="1"/>
  <c r="H34" i="1"/>
  <c r="G34" i="1"/>
  <c r="D34" i="1"/>
  <c r="B34" i="1"/>
  <c r="C34" i="1" s="1"/>
  <c r="H33" i="1"/>
  <c r="G33" i="1"/>
  <c r="D33" i="1"/>
  <c r="B33" i="1"/>
  <c r="B39" i="1" s="1"/>
  <c r="H32" i="1"/>
  <c r="G32" i="1"/>
  <c r="D32" i="1"/>
  <c r="D39" i="1" s="1"/>
  <c r="B32" i="1"/>
  <c r="B49" i="1" s="1"/>
  <c r="I26" i="1"/>
  <c r="H26" i="1"/>
  <c r="B52" i="1" s="1"/>
  <c r="G26" i="1"/>
  <c r="C32" i="1" s="1"/>
  <c r="C26" i="1"/>
  <c r="B43" i="1" s="1"/>
  <c r="F25" i="1"/>
  <c r="F24" i="1"/>
  <c r="F23" i="1"/>
  <c r="F22" i="1"/>
  <c r="E35" i="1" s="1"/>
  <c r="F21" i="1"/>
  <c r="E34" i="1" s="1"/>
  <c r="F20" i="1"/>
  <c r="E33" i="1" s="1"/>
  <c r="F19" i="1"/>
  <c r="E32" i="1" s="1"/>
  <c r="C130" i="5" l="1"/>
  <c r="C129" i="5"/>
  <c r="C132" i="5"/>
  <c r="C128" i="5"/>
  <c r="C131" i="5"/>
  <c r="J76" i="4"/>
  <c r="B50" i="1"/>
  <c r="F32" i="1"/>
  <c r="F35" i="1"/>
  <c r="C22" i="6"/>
  <c r="C112" i="5"/>
  <c r="C111" i="5"/>
  <c r="C114" i="5"/>
  <c r="C110" i="5"/>
  <c r="C113" i="5"/>
  <c r="C48" i="5"/>
  <c r="C19" i="6"/>
  <c r="F34" i="1"/>
  <c r="C29" i="5"/>
  <c r="C31" i="5"/>
  <c r="C27" i="5"/>
  <c r="C30" i="5"/>
  <c r="C28" i="5"/>
  <c r="J54" i="4"/>
  <c r="J58" i="4"/>
  <c r="C52" i="5"/>
  <c r="C51" i="5"/>
  <c r="C15" i="5"/>
  <c r="C14" i="5"/>
  <c r="C13" i="5"/>
  <c r="C16" i="5"/>
  <c r="J35" i="4"/>
  <c r="J40" i="4" s="1"/>
  <c r="J39" i="4"/>
  <c r="C12" i="5"/>
  <c r="H57" i="5"/>
  <c r="I57" i="5" s="1"/>
  <c r="B67" i="5"/>
  <c r="K106" i="5"/>
  <c r="B124" i="5"/>
  <c r="C20" i="6"/>
  <c r="H39" i="4"/>
  <c r="B53" i="1"/>
  <c r="H37" i="5"/>
  <c r="I37" i="5" s="1"/>
  <c r="C50" i="5" s="1"/>
  <c r="C67" i="5"/>
  <c r="B106" i="5"/>
  <c r="B18" i="6" a="1"/>
  <c r="B18" i="6" s="1"/>
  <c r="D20" i="6"/>
  <c r="G13" i="6"/>
  <c r="C18" i="6"/>
  <c r="G9" i="4"/>
  <c r="I9" i="4" s="1"/>
  <c r="G16" i="4"/>
  <c r="I16" i="4" s="1"/>
  <c r="B45" i="1"/>
  <c r="H7" i="4"/>
  <c r="H9" i="4" s="1"/>
  <c r="H14" i="4"/>
  <c r="H16" i="4" s="1"/>
  <c r="H21" i="4"/>
  <c r="H25" i="4"/>
  <c r="H36" i="4"/>
  <c r="H47" i="4"/>
  <c r="H51" i="4"/>
  <c r="H55" i="4"/>
  <c r="H59" i="4"/>
  <c r="H66" i="4"/>
  <c r="H73" i="4"/>
  <c r="H76" i="5"/>
  <c r="I76" i="5" s="1"/>
  <c r="C21" i="6"/>
  <c r="B44" i="5"/>
  <c r="D21" i="6"/>
  <c r="H50" i="4"/>
  <c r="H54" i="4"/>
  <c r="C33" i="1"/>
  <c r="F33" i="1" s="1"/>
  <c r="I24" i="4"/>
  <c r="J24" i="4" s="1"/>
  <c r="I28" i="4"/>
  <c r="J28" i="4" s="1"/>
  <c r="G29" i="4"/>
  <c r="I29" i="4" s="1"/>
  <c r="I35" i="4"/>
  <c r="I39" i="4"/>
  <c r="I46" i="4"/>
  <c r="J46" i="4" s="1"/>
  <c r="I50" i="4"/>
  <c r="J50" i="4" s="1"/>
  <c r="I54" i="4"/>
  <c r="I58" i="4"/>
  <c r="I65" i="4"/>
  <c r="J65" i="4" s="1"/>
  <c r="J67" i="4" s="1"/>
  <c r="I72" i="4"/>
  <c r="J72" i="4" s="1"/>
  <c r="J77" i="4" s="1"/>
  <c r="I76" i="4"/>
  <c r="G77" i="4"/>
  <c r="I77" i="4" s="1"/>
  <c r="B91" i="5"/>
  <c r="D19" i="6"/>
  <c r="G60" i="4"/>
  <c r="I60" i="4" s="1"/>
  <c r="G67" i="4"/>
  <c r="I67" i="4" s="1"/>
  <c r="B48" i="1"/>
  <c r="H24" i="4"/>
  <c r="H28" i="4"/>
  <c r="H35" i="4"/>
  <c r="H40" i="4" s="1"/>
  <c r="H46" i="4"/>
  <c r="H60" i="4" s="1"/>
  <c r="H58" i="4"/>
  <c r="H65" i="4"/>
  <c r="H72" i="4"/>
  <c r="H76" i="4"/>
  <c r="J29" i="4" l="1"/>
  <c r="J60" i="4"/>
  <c r="H29" i="4"/>
  <c r="C98" i="5"/>
  <c r="C97" i="5"/>
  <c r="C96" i="5"/>
  <c r="C99" i="5"/>
  <c r="C95" i="5"/>
  <c r="C39" i="1"/>
  <c r="H77" i="4"/>
  <c r="C70" i="5"/>
  <c r="C69" i="5"/>
  <c r="C68" i="5"/>
  <c r="C71" i="5"/>
  <c r="C49" i="5"/>
  <c r="H67" i="4"/>
</calcChain>
</file>

<file path=xl/sharedStrings.xml><?xml version="1.0" encoding="utf-8"?>
<sst xmlns="http://schemas.openxmlformats.org/spreadsheetml/2006/main" count="640" uniqueCount="199">
  <si>
    <t>FINAL PORTFOLIO ANALYSIS</t>
  </si>
  <si>
    <t>ALLOCATION CONFIGURATION</t>
  </si>
  <si>
    <t>Strategy Level Allocation:</t>
  </si>
  <si>
    <t>Equal_Weight</t>
  </si>
  <si>
    <t>Pair Level Allocation Methods:</t>
  </si>
  <si>
    <t xml:space="preserve">  • 7th_Strategy:</t>
  </si>
  <si>
    <t>Sharpe_Weighted</t>
  </si>
  <si>
    <t xml:space="preserve">  • Falcon:</t>
  </si>
  <si>
    <t>Risk_Parity</t>
  </si>
  <si>
    <t xml:space="preserve">  • Gold_Dip:</t>
  </si>
  <si>
    <t xml:space="preserve">  • RSI_Correlation:</t>
  </si>
  <si>
    <t>Inverse_Volatility</t>
  </si>
  <si>
    <t xml:space="preserve">  • RSI_6_Trades:</t>
  </si>
  <si>
    <t xml:space="preserve">  • AURUM:</t>
  </si>
  <si>
    <t xml:space="preserve">  • PairTradingEA:</t>
  </si>
  <si>
    <t>Max_Sharpe</t>
  </si>
  <si>
    <t>SECTION 1: STRATEGY-LEVEL PERFORMANCE</t>
  </si>
  <si>
    <t>(Each strategy's performance using its selected pair allocation method)</t>
  </si>
  <si>
    <t>Strategy</t>
  </si>
  <si>
    <t>Pair_Method</t>
  </si>
  <si>
    <t>Pairs</t>
  </si>
  <si>
    <t>Sharpe</t>
  </si>
  <si>
    <t>XIRR_%</t>
  </si>
  <si>
    <t>Return_%</t>
  </si>
  <si>
    <t>Capital</t>
  </si>
  <si>
    <t>Profit</t>
  </si>
  <si>
    <t>Max_DD</t>
  </si>
  <si>
    <t>Years</t>
  </si>
  <si>
    <t>7th_Strategy</t>
  </si>
  <si>
    <t>Falcon</t>
  </si>
  <si>
    <t>Gold_Dip</t>
  </si>
  <si>
    <t>RSI_Correlation</t>
  </si>
  <si>
    <t>RSI_6_Trades</t>
  </si>
  <si>
    <t>AURUM</t>
  </si>
  <si>
    <t>PairTradingEA</t>
  </si>
  <si>
    <t>TOTAL</t>
  </si>
  <si>
    <t>SECTION 2: FINAL PORTFOLIO ALLOCATION</t>
  </si>
  <si>
    <t>(Using Equal_Weight for strategy distribution)</t>
  </si>
  <si>
    <t>Weight_%</t>
  </si>
  <si>
    <t>Allocated_Capital</t>
  </si>
  <si>
    <t>Min_Required</t>
  </si>
  <si>
    <t>Expected_Return_%</t>
  </si>
  <si>
    <t>Expected_Profit</t>
  </si>
  <si>
    <t>SECTION 3: FINAL PORTFOLIO PERFORMANCE</t>
  </si>
  <si>
    <t>Total Trading Pairs</t>
  </si>
  <si>
    <t>Total Capital Required (MDD×2)</t>
  </si>
  <si>
    <t>Total Maximum Drawdown</t>
  </si>
  <si>
    <t>Portfolio Sharpe Ratio</t>
  </si>
  <si>
    <t>★★★</t>
  </si>
  <si>
    <t>Portfolio XIRR</t>
  </si>
  <si>
    <t>Weighted Return</t>
  </si>
  <si>
    <t>Expected Total Profit</t>
  </si>
  <si>
    <t>Overall Return on Capital</t>
  </si>
  <si>
    <t>SECTION 4: SUMMARY &amp; KEY INSIGHTS</t>
  </si>
  <si>
    <t>FORMULA USED FOR PORTFOLIO SHARPE RATIO:</t>
  </si>
  <si>
    <t xml:space="preserve">  S_p = (w'μ) / √(w'Σw)  where Σ_ij = ρ×σ_i×σ_j, ρ = 0.3</t>
  </si>
  <si>
    <t>✓ Using Equal_Weight allocation across 7 strategies</t>
  </si>
  <si>
    <t>✓ All cells contain Excel formulas - click any cell to see calculation</t>
  </si>
  <si>
    <t>✓ Section 1 provides strategy-level data</t>
  </si>
  <si>
    <t>✓ Section 2 allocates capital based on weights</t>
  </si>
  <si>
    <t>✓ Section 3 calculates portfolio metrics using SUMPRODUCT formulas</t>
  </si>
  <si>
    <t>KEY FORMULAS USED:</t>
  </si>
  <si>
    <t xml:space="preserve">  • Weight: =100/7 (Equal Weight)</t>
  </si>
  <si>
    <t xml:space="preserve">  • Allocated Capital: =(Weight/100) × Total Capital</t>
  </si>
  <si>
    <t xml:space="preserve">  • Expected Profit: =Allocated_Capital × (Return%/100)</t>
  </si>
  <si>
    <t xml:space="preserve">  • Portfolio XIRR: =SUMPRODUCT(weights/100, XIRR values)</t>
  </si>
  <si>
    <t xml:space="preserve">  • Portfolio Sharpe: =(w'μ)/√(w'Σw) with ρ=0.3</t>
  </si>
  <si>
    <t>RISK MANAGEMENT:</t>
  </si>
  <si>
    <t xml:space="preserve">  • Safety buffer: 2× maximum drawdown as capital base</t>
  </si>
  <si>
    <t xml:space="preserve">  • Diversification across 7 independent strategies</t>
  </si>
  <si>
    <t xml:space="preserve">  • Each strategy uses optimal pair allocation method</t>
  </si>
  <si>
    <t>COMPREHENSIVE STRATEGY STATISTICS (MT5 Sharpe Ratios)</t>
  </si>
  <si>
    <t>Note: Initial Capital = Max Drawdown × 2 | All cells use Excel formulas for transparency</t>
  </si>
  <si>
    <t>FORMULAS: G=F*2 (Initial Cap), H=G+E (Final Bal), I=(E/G)*100 (Return%), J uses XIRR approximation</t>
  </si>
  <si>
    <t>Strategy: 7th_Strategy</t>
  </si>
  <si>
    <t>Currency_Pair</t>
  </si>
  <si>
    <t>Sharpe_Ratio</t>
  </si>
  <si>
    <t>Total_Trades</t>
  </si>
  <si>
    <t>Win_Rate_%</t>
  </si>
  <si>
    <t>Total_Profit</t>
  </si>
  <si>
    <t>Max_Drawdown</t>
  </si>
  <si>
    <t>Initial_Capital</t>
  </si>
  <si>
    <t>Final_Balance</t>
  </si>
  <si>
    <t>Profit_Factor</t>
  </si>
  <si>
    <t>Trading_Days</t>
  </si>
  <si>
    <t>Trading_Years</t>
  </si>
  <si>
    <t>Start_Date</t>
  </si>
  <si>
    <t>End_Date</t>
  </si>
  <si>
    <t>Winning</t>
  </si>
  <si>
    <t>Losing</t>
  </si>
  <si>
    <t>XAUUSD</t>
  </si>
  <si>
    <t>2020-01-24</t>
  </si>
  <si>
    <t>2025-08-06</t>
  </si>
  <si>
    <t>XAGUSD</t>
  </si>
  <si>
    <t>2025-11-30</t>
  </si>
  <si>
    <t>STRATEGY TOTAL</t>
  </si>
  <si>
    <t>Strategy: Falcon</t>
  </si>
  <si>
    <t>V5</t>
  </si>
  <si>
    <t>2020-01-06</t>
  </si>
  <si>
    <t>2024-10-22</t>
  </si>
  <si>
    <t>v5-v2 - Tp 60,SL 60 all day</t>
  </si>
  <si>
    <t>2024-12-31</t>
  </si>
  <si>
    <t>Strategy: Gold_Dip</t>
  </si>
  <si>
    <t>EURAUD</t>
  </si>
  <si>
    <t>2020-02-28</t>
  </si>
  <si>
    <t>2025-04-23</t>
  </si>
  <si>
    <t>GBPUSD</t>
  </si>
  <si>
    <t>2020-02-06</t>
  </si>
  <si>
    <t>2025-03-10</t>
  </si>
  <si>
    <t>EURUSD</t>
  </si>
  <si>
    <t>2025-05-13</t>
  </si>
  <si>
    <t>EURJPY</t>
  </si>
  <si>
    <t>2020-03-09</t>
  </si>
  <si>
    <t>2025-04-09</t>
  </si>
  <si>
    <t>AUDJPY</t>
  </si>
  <si>
    <t>2020-02-05</t>
  </si>
  <si>
    <t>2025-06-13</t>
  </si>
  <si>
    <t>EURCHF</t>
  </si>
  <si>
    <t>2020-05-27</t>
  </si>
  <si>
    <t>USDCAD</t>
  </si>
  <si>
    <t>2020-01-09</t>
  </si>
  <si>
    <t>2025-06-10</t>
  </si>
  <si>
    <t>AUDUSD</t>
  </si>
  <si>
    <t>2020-01-28</t>
  </si>
  <si>
    <t>2025-06-20</t>
  </si>
  <si>
    <t>Strategy: RSI_Correlation</t>
  </si>
  <si>
    <t>AUDUSD_GBPNZD</t>
  </si>
  <si>
    <t>2020-01-01</t>
  </si>
  <si>
    <t>2025-12-03</t>
  </si>
  <si>
    <t>EURAUD_CADCHF</t>
  </si>
  <si>
    <t>2025-11-28</t>
  </si>
  <si>
    <t>EURGBP_GBPCHF</t>
  </si>
  <si>
    <t>2025-12-26</t>
  </si>
  <si>
    <t>GBPUSD_USDCAD</t>
  </si>
  <si>
    <t>2025-09-29</t>
  </si>
  <si>
    <t>GBPUSD_USDCHF</t>
  </si>
  <si>
    <t>USDCAD_AUDCHF</t>
  </si>
  <si>
    <t>2025-12-05</t>
  </si>
  <si>
    <t>Strategy: RSI_6_Trades</t>
  </si>
  <si>
    <t>GBPAUD</t>
  </si>
  <si>
    <t>2020-01-02</t>
  </si>
  <si>
    <t>2025-09-12</t>
  </si>
  <si>
    <t>2025-08-01</t>
  </si>
  <si>
    <t>EURGBP</t>
  </si>
  <si>
    <t>2025-07-28</t>
  </si>
  <si>
    <t>GBPCAD</t>
  </si>
  <si>
    <t>2025-08-18</t>
  </si>
  <si>
    <t>EURCAD</t>
  </si>
  <si>
    <t>2025-06-26</t>
  </si>
  <si>
    <t>USDCHF</t>
  </si>
  <si>
    <t>2025-07-07</t>
  </si>
  <si>
    <t>NZDCHF</t>
  </si>
  <si>
    <t>2025-08-21</t>
  </si>
  <si>
    <t>USDJPY</t>
  </si>
  <si>
    <t>2025-07-16</t>
  </si>
  <si>
    <t>CADCHF</t>
  </si>
  <si>
    <t>2025-07-03</t>
  </si>
  <si>
    <t>GBPCHF</t>
  </si>
  <si>
    <t>2025-07-15</t>
  </si>
  <si>
    <t>2025-06-17</t>
  </si>
  <si>
    <t>Strategy: AURUM</t>
  </si>
  <si>
    <t>XAUUSD_Grid</t>
  </si>
  <si>
    <t>USDJPY_Grid</t>
  </si>
  <si>
    <t>Strategy: PairTradingEA</t>
  </si>
  <si>
    <t>AUDUSD_AUDCAD</t>
  </si>
  <si>
    <t>2020-01-15</t>
  </si>
  <si>
    <t>EURUSD_GBPUSD</t>
  </si>
  <si>
    <t>2020-10-01</t>
  </si>
  <si>
    <t>EURUSD_AUDUSD</t>
  </si>
  <si>
    <t>PAIR CAPITAL DISTRIBUTION WITHIN STRATEGIES</t>
  </si>
  <si>
    <t>Note: All cells use Excel formulas | K=J*2 (Initial Cap) | Weights sum to 100%</t>
  </si>
  <si>
    <t>STRATEGY: 7th_Strategy (2 pairs)</t>
  </si>
  <si>
    <t>Equal_%</t>
  </si>
  <si>
    <t>Inv_Vol_%</t>
  </si>
  <si>
    <t>Sharpe_%</t>
  </si>
  <si>
    <t>Risk_Parity_%</t>
  </si>
  <si>
    <t>Max_Sharpe_%</t>
  </si>
  <si>
    <t>Initial_Cap</t>
  </si>
  <si>
    <t>PORTFOLIO PERFORMANCE BY ALLOCATION METHOD:</t>
  </si>
  <si>
    <t>Allocation_Method</t>
  </si>
  <si>
    <t>Portfolio_Sharpe_Ratio</t>
  </si>
  <si>
    <t>Portfolio_XIRR_%</t>
  </si>
  <si>
    <t>Formula_Explanation</t>
  </si>
  <si>
    <t>Sharpe = (w×μ)/√(w×Σ×w), ρ=0.3</t>
  </si>
  <si>
    <t>STRATEGY: Falcon (2 pairs)</t>
  </si>
  <si>
    <t>STRATEGY: Gold_Dip (8 pairs)</t>
  </si>
  <si>
    <t>STRATEGY: RSI_Correlation (6 pairs)</t>
  </si>
  <si>
    <t>STRATEGY: RSI_6_Trades (15 pairs)</t>
  </si>
  <si>
    <t>STRATEGY: AURUM (2 pairs)</t>
  </si>
  <si>
    <t>STRATEGY: PairTradingEA (5 pairs)</t>
  </si>
  <si>
    <t>STRATEGY CAPITAL DISTRIBUTION</t>
  </si>
  <si>
    <t>Note: All cells use Excel formulas | D=(L/F)*100 (Return%) | Weights sum to 100%</t>
  </si>
  <si>
    <t>STRATEGY WEIGHTS BY ALLOCATION METHOD</t>
  </si>
  <si>
    <t>Capital_Req</t>
  </si>
  <si>
    <t>FINAL PORTFOLIO PERFORMANCE BY ALLOCATION METHOD</t>
  </si>
  <si>
    <t>Weighted_Return_%</t>
  </si>
  <si>
    <t>Formula</t>
  </si>
  <si>
    <t>Sharpe=(w×μ)/√(w×Σ×w), ρ=0.3</t>
  </si>
  <si>
    <t>Alpha_T-stat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</si>
</sst>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0.00&quot;%&quot;"/>
    <numFmt numFmtId="166" formatCode="0.0"/>
  </numFmts>
  <fonts count="24" x14ac:knownFonts="1"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</font>
    <font>
      <i/>
      <sz val="10"/>
      <color rgb="FFC00000"/>
      <name val="Calibri"/>
      <family val="2"/>
    </font>
    <font>
      <i/>
      <sz val="10"/>
      <color rgb="FF006600"/>
      <name val="Calibri"/>
      <family val="2"/>
    </font>
    <font>
      <b/>
      <sz val="12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1"/>
      <color rgb="FF1F4E79"/>
      <name val="Calibri"/>
      <family val="2"/>
    </font>
    <font>
      <b/>
      <sz val="18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0066CC"/>
      <name val="Calibri"/>
      <family val="2"/>
    </font>
    <font>
      <sz val="11"/>
      <color rgb="FF0066CC"/>
      <name val="Calibri"/>
      <family val="2"/>
    </font>
    <font>
      <i/>
      <sz val="9"/>
      <color rgb="FF666666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2"/>
      <color rgb="FF006600"/>
      <name val="Calibri"/>
      <family val="2"/>
    </font>
    <font>
      <sz val="14"/>
      <color rgb="FF006600"/>
      <name val="Calibri"/>
      <family val="2"/>
    </font>
    <font>
      <sz val="10"/>
      <color rgb="FF006600"/>
      <name val="Calibri"/>
      <family val="2"/>
    </font>
    <font>
      <sz val="10"/>
      <name val="Calibri"/>
      <family val="2"/>
    </font>
    <font>
      <b/>
      <sz val="11"/>
      <color rgb="FFC00000"/>
      <name val="Calibri"/>
      <family val="2"/>
    </font>
    <font>
      <sz val="10"/>
      <color rgb="FF0066CC"/>
      <name val="Calibri"/>
      <family val="2"/>
    </font>
    <font>
      <b/>
      <sz val="11"/>
      <color rgb="FF1F4E79"/>
      <name val="Calibri"/>
      <family val="2"/>
    </font>
    <font>
      <i/>
      <sz val="10"/>
      <color rgb="FF666666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ED7D31"/>
        <bgColor rgb="FFED7D31"/>
      </patternFill>
    </fill>
    <fill>
      <patternFill patternType="solid">
        <fgColor rgb="FF70AD47"/>
        <bgColor rgb="FF70AD47"/>
      </patternFill>
    </fill>
    <fill>
      <patternFill patternType="solid">
        <fgColor rgb="FF9E480E"/>
        <bgColor rgb="FF9E480E"/>
      </patternFill>
    </fill>
    <fill>
      <patternFill patternType="solid">
        <fgColor rgb="FF5B9BD5"/>
        <bgColor rgb="FF5B9BD5"/>
      </patternFill>
    </fill>
    <fill>
      <patternFill patternType="solid">
        <fgColor rgb="FF7030A0"/>
        <bgColor rgb="FF7030A0"/>
      </patternFill>
    </fill>
    <fill>
      <patternFill patternType="solid">
        <fgColor rgb="FFC00000"/>
        <bgColor rgb="FFC00000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1F4E79"/>
        <bgColor rgb="FF1F4E79"/>
      </patternFill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ED7D31"/>
        <bgColor rgb="FFED7D31"/>
      </patternFill>
    </fill>
    <fill>
      <patternFill patternType="solid">
        <fgColor rgb="FFC00000"/>
        <bgColor rgb="FFC00000"/>
      </patternFill>
    </fill>
    <fill>
      <patternFill patternType="solid">
        <fgColor rgb="FFFFF3CC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0" fontId="0" fillId="0" borderId="1" xfId="0" applyBorder="1"/>
    <xf numFmtId="0" fontId="6" fillId="4" borderId="1" xfId="0" applyFont="1" applyFill="1" applyBorder="1"/>
    <xf numFmtId="0" fontId="6" fillId="11" borderId="1" xfId="0" applyFont="1" applyFill="1" applyBorder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4" fillId="16" borderId="2" xfId="0" applyFont="1" applyFill="1" applyBorder="1" applyAlignment="1">
      <alignment horizontal="center" vertical="center"/>
    </xf>
    <xf numFmtId="0" fontId="0" fillId="0" borderId="2" xfId="0" applyBorder="1"/>
    <xf numFmtId="0" fontId="15" fillId="17" borderId="2" xfId="0" applyFont="1" applyFill="1" applyBorder="1"/>
    <xf numFmtId="0" fontId="10" fillId="0" borderId="2" xfId="0" applyFont="1" applyBorder="1"/>
    <xf numFmtId="0" fontId="16" fillId="0" borderId="2" xfId="0" applyFont="1" applyBorder="1"/>
    <xf numFmtId="0" fontId="17" fillId="0" borderId="2" xfId="0" applyFont="1" applyBorder="1"/>
    <xf numFmtId="164" fontId="0" fillId="0" borderId="2" xfId="0" applyNumberFormat="1" applyBorder="1"/>
    <xf numFmtId="165" fontId="16" fillId="0" borderId="2" xfId="0" applyNumberFormat="1" applyFont="1" applyBorder="1"/>
    <xf numFmtId="165" fontId="0" fillId="0" borderId="2" xfId="0" applyNumberFormat="1" applyBorder="1"/>
    <xf numFmtId="0" fontId="5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shrinkToFit="1"/>
    </xf>
    <xf numFmtId="0" fontId="5" fillId="3" borderId="2" xfId="0" applyFont="1" applyFill="1" applyBorder="1" applyAlignment="1">
      <alignment horizontal="center" vertical="center" shrinkToFit="1"/>
    </xf>
    <xf numFmtId="0" fontId="1" fillId="0" borderId="0" xfId="0" applyFont="1" applyAlignment="1">
      <alignment horizontal="center"/>
    </xf>
    <xf numFmtId="0" fontId="0" fillId="0" borderId="0" xfId="0"/>
    <xf numFmtId="0" fontId="4" fillId="7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3" fillId="0" borderId="0" xfId="0" applyFont="1"/>
    <xf numFmtId="0" fontId="4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2" fillId="0" borderId="0" xfId="0" applyFont="1"/>
    <xf numFmtId="0" fontId="4" fillId="6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7" fillId="0" borderId="0" xfId="0" applyFont="1"/>
    <xf numFmtId="0" fontId="4" fillId="12" borderId="0" xfId="0" applyFont="1" applyFill="1" applyAlignment="1">
      <alignment horizontal="center" vertical="center"/>
    </xf>
    <xf numFmtId="0" fontId="21" fillId="0" borderId="0" xfId="0" applyFont="1"/>
    <xf numFmtId="0" fontId="23" fillId="0" borderId="0" xfId="0" applyFont="1"/>
    <xf numFmtId="0" fontId="19" fillId="0" borderId="0" xfId="0" applyFont="1"/>
    <xf numFmtId="0" fontId="18" fillId="0" borderId="0" xfId="0" applyFont="1"/>
    <xf numFmtId="0" fontId="8" fillId="13" borderId="0" xfId="0" applyFont="1" applyFill="1" applyAlignment="1">
      <alignment horizontal="center" vertical="center"/>
    </xf>
    <xf numFmtId="0" fontId="9" fillId="15" borderId="0" xfId="0" applyFont="1" applyFill="1" applyAlignment="1">
      <alignment horizontal="center" vertical="center"/>
    </xf>
    <xf numFmtId="0" fontId="20" fillId="0" borderId="0" xfId="0" applyFont="1"/>
    <xf numFmtId="0" fontId="9" fillId="14" borderId="0" xfId="0" applyFont="1" applyFill="1" applyAlignment="1">
      <alignment horizontal="center" vertical="center"/>
    </xf>
    <xf numFmtId="0" fontId="9" fillId="19" borderId="0" xfId="0" applyFont="1" applyFill="1" applyAlignment="1">
      <alignment horizontal="center" vertical="center"/>
    </xf>
    <xf numFmtId="0" fontId="13" fillId="0" borderId="0" xfId="0" applyFont="1"/>
    <xf numFmtId="0" fontId="9" fillId="18" borderId="0" xfId="0" applyFont="1" applyFill="1" applyAlignment="1">
      <alignment horizontal="center" vertical="center"/>
    </xf>
    <xf numFmtId="0" fontId="22" fillId="0" borderId="0" xfId="0" applyFont="1"/>
    <xf numFmtId="0" fontId="5" fillId="16" borderId="2" xfId="0" applyFont="1" applyFill="1" applyBorder="1" applyAlignment="1">
      <alignment horizontal="center" vertical="center"/>
    </xf>
    <xf numFmtId="2" fontId="0" fillId="0" borderId="2" xfId="0" applyNumberFormat="1" applyBorder="1"/>
    <xf numFmtId="0" fontId="0" fillId="20" borderId="2" xfId="0" applyFill="1" applyBorder="1"/>
    <xf numFmtId="0" fontId="5" fillId="16" borderId="0" xfId="0" applyFont="1" applyFill="1" applyAlignment="1">
      <alignment horizontal="center" vertical="center"/>
    </xf>
    <xf numFmtId="166" fontId="0" fillId="0" borderId="2" xfId="0" applyNumberFormat="1" applyBorder="1"/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2" fontId="0" fillId="20" borderId="2" xfId="0" applyNumberFormat="1" applyFill="1" applyBorder="1"/>
    <xf numFmtId="166" fontId="0" fillId="20" borderId="2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7"/>
  <sheetViews>
    <sheetView tabSelected="1" workbookViewId="0">
      <selection activeCell="R9" sqref="R9"/>
    </sheetView>
  </sheetViews>
  <sheetFormatPr baseColWidth="10" defaultColWidth="8.83203125" defaultRowHeight="15" x14ac:dyDescent="0.2"/>
  <cols>
    <col min="1" max="1" width="28" customWidth="1"/>
    <col min="2" max="18" width="14" customWidth="1"/>
  </cols>
  <sheetData>
    <row r="1" spans="1:18" ht="21" customHeight="1" x14ac:dyDescent="0.25">
      <c r="A1" s="20" t="s">
        <v>71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 spans="1:18" x14ac:dyDescent="0.2">
      <c r="A2" s="28" t="s">
        <v>72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</row>
    <row r="3" spans="1:18" x14ac:dyDescent="0.2">
      <c r="A3" s="25" t="s">
        <v>73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</row>
    <row r="5" spans="1:18" ht="16" customHeight="1" x14ac:dyDescent="0.2">
      <c r="A5" s="50" t="s">
        <v>74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</row>
    <row r="6" spans="1:18" x14ac:dyDescent="0.2">
      <c r="A6" s="1" t="s">
        <v>75</v>
      </c>
      <c r="B6" s="1" t="s">
        <v>76</v>
      </c>
      <c r="C6" s="1" t="s">
        <v>77</v>
      </c>
      <c r="D6" s="1" t="s">
        <v>78</v>
      </c>
      <c r="E6" s="1" t="s">
        <v>79</v>
      </c>
      <c r="F6" s="1" t="s">
        <v>80</v>
      </c>
      <c r="G6" s="1" t="s">
        <v>81</v>
      </c>
      <c r="H6" s="1" t="s">
        <v>82</v>
      </c>
      <c r="I6" s="1" t="s">
        <v>23</v>
      </c>
      <c r="J6" s="1" t="s">
        <v>22</v>
      </c>
      <c r="K6" s="1" t="s">
        <v>83</v>
      </c>
      <c r="L6" s="1" t="s">
        <v>84</v>
      </c>
      <c r="M6" s="1" t="s">
        <v>85</v>
      </c>
      <c r="N6" s="1" t="s">
        <v>86</v>
      </c>
      <c r="O6" s="1" t="s">
        <v>87</v>
      </c>
      <c r="P6" s="1" t="s">
        <v>88</v>
      </c>
      <c r="Q6" s="1" t="s">
        <v>89</v>
      </c>
      <c r="R6" s="45" t="s">
        <v>198</v>
      </c>
    </row>
    <row r="7" spans="1:18" x14ac:dyDescent="0.2">
      <c r="A7" s="2" t="s">
        <v>90</v>
      </c>
      <c r="B7" s="2">
        <v>1.4</v>
      </c>
      <c r="C7" s="2">
        <v>163</v>
      </c>
      <c r="D7" s="2">
        <f>IF(C7&gt;0, (P7/C7)*100, 0)</f>
        <v>74.233128834355838</v>
      </c>
      <c r="E7" s="2">
        <v>2068.39</v>
      </c>
      <c r="F7" s="2">
        <v>580</v>
      </c>
      <c r="G7" s="2">
        <f>F7*2</f>
        <v>1160</v>
      </c>
      <c r="H7" s="2">
        <f>G7+E7</f>
        <v>3228.39</v>
      </c>
      <c r="I7" s="2">
        <f>IF(G7&gt;0, (E7/G7)*100, 0)</f>
        <v>178.30948275862067</v>
      </c>
      <c r="J7" s="2">
        <f>IF(AND(G7&gt;0, M7&gt;0), ((1+I7/100)^(1/M7)-1)*100, 0)</f>
        <v>20.304919050183411</v>
      </c>
      <c r="K7" s="2">
        <v>2.38</v>
      </c>
      <c r="L7" s="2">
        <v>2021</v>
      </c>
      <c r="M7" s="2">
        <f>L7/365</f>
        <v>5.536986301369863</v>
      </c>
      <c r="N7" s="2" t="s">
        <v>91</v>
      </c>
      <c r="O7" s="2" t="s">
        <v>92</v>
      </c>
      <c r="P7" s="2">
        <v>121</v>
      </c>
      <c r="Q7" s="2">
        <v>42</v>
      </c>
      <c r="R7" s="46">
        <f>B7*SQRT(C7)</f>
        <v>17.874003468725185</v>
      </c>
    </row>
    <row r="8" spans="1:18" x14ac:dyDescent="0.2">
      <c r="A8" s="2" t="s">
        <v>93</v>
      </c>
      <c r="B8" s="2">
        <v>1.53</v>
      </c>
      <c r="C8" s="2">
        <v>145</v>
      </c>
      <c r="D8" s="2">
        <f>IF(C8&gt;0, (P8/C8)*100, 0)</f>
        <v>59.310344827586206</v>
      </c>
      <c r="E8" s="2">
        <v>2493.77</v>
      </c>
      <c r="F8" s="2">
        <v>752</v>
      </c>
      <c r="G8" s="2">
        <f>F8*2</f>
        <v>1504</v>
      </c>
      <c r="H8" s="2">
        <f>G8+E8</f>
        <v>3997.77</v>
      </c>
      <c r="I8" s="2">
        <f>IF(G8&gt;0, (E8/G8)*100, 0)</f>
        <v>165.80917553191489</v>
      </c>
      <c r="J8" s="2">
        <f>IF(AND(G8&gt;0, M8&gt;0), ((1+I8/100)^(1/M8)-1)*100, 0)</f>
        <v>18.172556249262438</v>
      </c>
      <c r="K8" s="2">
        <v>2.75</v>
      </c>
      <c r="L8" s="2">
        <v>2137</v>
      </c>
      <c r="M8" s="2">
        <f>L8/365</f>
        <v>5.8547945205479452</v>
      </c>
      <c r="N8" s="2" t="s">
        <v>91</v>
      </c>
      <c r="O8" s="2" t="s">
        <v>94</v>
      </c>
      <c r="P8" s="2">
        <v>86</v>
      </c>
      <c r="Q8" s="2">
        <v>59</v>
      </c>
      <c r="R8" s="46">
        <f>B8*SQRT(C8)</f>
        <v>18.423639705552212</v>
      </c>
    </row>
    <row r="9" spans="1:18" x14ac:dyDescent="0.2">
      <c r="A9" s="3" t="s">
        <v>95</v>
      </c>
      <c r="B9" s="3">
        <f>AVERAGE(B7:B8)</f>
        <v>1.4649999999999999</v>
      </c>
      <c r="C9" s="3">
        <f>SUM(C7:C8)</f>
        <v>308</v>
      </c>
      <c r="D9" s="3">
        <f>IF(C9&gt;0, (P9/C9)*100, 0)</f>
        <v>67.20779220779221</v>
      </c>
      <c r="E9" s="3">
        <f>SUM(E7:E8)</f>
        <v>4562.16</v>
      </c>
      <c r="F9" s="3">
        <f>SUM(F7:F8)</f>
        <v>1332</v>
      </c>
      <c r="G9" s="3">
        <f>SUM(G7:G8)</f>
        <v>2664</v>
      </c>
      <c r="H9" s="3">
        <f>SUM(H7:H8)</f>
        <v>7226.16</v>
      </c>
      <c r="I9" s="3">
        <f>IF(G9&gt;0, (E9/G9)*100, 0)</f>
        <v>171.25225225225225</v>
      </c>
      <c r="J9" s="3">
        <f>AVERAGE(J7:J8)</f>
        <v>19.238737649722925</v>
      </c>
      <c r="K9" s="3">
        <f>AVERAGE(K7:K8)</f>
        <v>2.5649999999999999</v>
      </c>
      <c r="L9" s="3"/>
      <c r="M9" s="3"/>
      <c r="N9" s="3"/>
      <c r="O9" s="3"/>
      <c r="P9" s="3">
        <f>SUM(P7:P8)</f>
        <v>207</v>
      </c>
      <c r="Q9" s="3">
        <f>SUM(Q7:Q8)</f>
        <v>101</v>
      </c>
      <c r="R9" s="54">
        <f>B9*SQRT(C9)</f>
        <v>25.710645655058915</v>
      </c>
    </row>
    <row r="12" spans="1:18" ht="16" x14ac:dyDescent="0.2">
      <c r="A12" s="51" t="s">
        <v>96</v>
      </c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</row>
    <row r="13" spans="1:18" x14ac:dyDescent="0.2">
      <c r="A13" s="1" t="s">
        <v>75</v>
      </c>
      <c r="B13" s="1" t="s">
        <v>76</v>
      </c>
      <c r="C13" s="1" t="s">
        <v>77</v>
      </c>
      <c r="D13" s="1" t="s">
        <v>78</v>
      </c>
      <c r="E13" s="1" t="s">
        <v>79</v>
      </c>
      <c r="F13" s="1" t="s">
        <v>80</v>
      </c>
      <c r="G13" s="1" t="s">
        <v>81</v>
      </c>
      <c r="H13" s="1" t="s">
        <v>82</v>
      </c>
      <c r="I13" s="1" t="s">
        <v>23</v>
      </c>
      <c r="J13" s="1" t="s">
        <v>22</v>
      </c>
      <c r="K13" s="1" t="s">
        <v>83</v>
      </c>
      <c r="L13" s="1" t="s">
        <v>84</v>
      </c>
      <c r="M13" s="1" t="s">
        <v>85</v>
      </c>
      <c r="N13" s="1" t="s">
        <v>86</v>
      </c>
      <c r="O13" s="1" t="s">
        <v>87</v>
      </c>
      <c r="P13" s="1" t="s">
        <v>88</v>
      </c>
      <c r="Q13" s="1" t="s">
        <v>89</v>
      </c>
      <c r="R13" s="45" t="s">
        <v>198</v>
      </c>
    </row>
    <row r="14" spans="1:18" x14ac:dyDescent="0.2">
      <c r="A14" s="2" t="s">
        <v>97</v>
      </c>
      <c r="B14" s="2">
        <v>1.26</v>
      </c>
      <c r="C14" s="2">
        <v>538</v>
      </c>
      <c r="D14" s="2">
        <f>IF(C14&gt;0, (P14/C14)*100, 0)</f>
        <v>94.423791821561338</v>
      </c>
      <c r="E14" s="2">
        <v>1912</v>
      </c>
      <c r="F14" s="2">
        <v>556</v>
      </c>
      <c r="G14" s="2">
        <f>F14*2</f>
        <v>1112</v>
      </c>
      <c r="H14" s="2">
        <f>G14+E14</f>
        <v>3024</v>
      </c>
      <c r="I14" s="2">
        <f>IF(G14&gt;0, (E14/G14)*100, 0)</f>
        <v>171.94244604316546</v>
      </c>
      <c r="J14" s="2">
        <f>IF(AND(G14&gt;0, M14&gt;0), ((1+I14/100)^(1/M14)-1)*100, 0)</f>
        <v>23.187810276077414</v>
      </c>
      <c r="K14" s="2">
        <v>1.75</v>
      </c>
      <c r="L14" s="2">
        <v>1751</v>
      </c>
      <c r="M14" s="2">
        <f>L14/365</f>
        <v>4.7972602739726025</v>
      </c>
      <c r="N14" s="2" t="s">
        <v>98</v>
      </c>
      <c r="O14" s="2" t="s">
        <v>99</v>
      </c>
      <c r="P14" s="2">
        <v>508</v>
      </c>
      <c r="Q14" s="2">
        <v>30</v>
      </c>
      <c r="R14" s="9">
        <f>B14*SQRT(C14)</f>
        <v>29.225482031952868</v>
      </c>
    </row>
    <row r="15" spans="1:18" x14ac:dyDescent="0.2">
      <c r="A15" s="2" t="s">
        <v>100</v>
      </c>
      <c r="B15" s="2">
        <v>0.85</v>
      </c>
      <c r="C15" s="2">
        <v>562</v>
      </c>
      <c r="D15" s="2">
        <f>IF(C15&gt;0, (P15/C15)*100, 0)</f>
        <v>36.654804270462634</v>
      </c>
      <c r="E15" s="2">
        <v>7529.96</v>
      </c>
      <c r="F15" s="2">
        <v>2860</v>
      </c>
      <c r="G15" s="2">
        <f>F15*2</f>
        <v>5720</v>
      </c>
      <c r="H15" s="2">
        <f>G15+E15</f>
        <v>13249.96</v>
      </c>
      <c r="I15" s="2">
        <f>IF(G15&gt;0, (E15/G15)*100, 0)</f>
        <v>131.64265734265734</v>
      </c>
      <c r="J15" s="2">
        <f>IF(AND(G15&gt;0, M15&gt;0), ((1+I15/100)^(1/M15)-1)*100, 0)</f>
        <v>18.337933054051845</v>
      </c>
      <c r="K15" s="2">
        <v>1.29</v>
      </c>
      <c r="L15" s="2">
        <v>1821</v>
      </c>
      <c r="M15" s="2">
        <f>L15/365</f>
        <v>4.9890410958904106</v>
      </c>
      <c r="N15" s="2" t="s">
        <v>98</v>
      </c>
      <c r="O15" s="2" t="s">
        <v>101</v>
      </c>
      <c r="P15" s="2">
        <v>206</v>
      </c>
      <c r="Q15" s="2">
        <v>356</v>
      </c>
      <c r="R15" s="9">
        <f t="shared" ref="R15:R16" si="0">B15*SQRT(C15)</f>
        <v>20.150558304920484</v>
      </c>
    </row>
    <row r="16" spans="1:18" x14ac:dyDescent="0.2">
      <c r="A16" s="3" t="s">
        <v>95</v>
      </c>
      <c r="B16" s="3">
        <f>AVERAGE(B14:B15)</f>
        <v>1.0549999999999999</v>
      </c>
      <c r="C16" s="3">
        <f>SUM(C14:C15)</f>
        <v>1100</v>
      </c>
      <c r="D16" s="3">
        <f>IF(C16&gt;0, (P16/C16)*100, 0)</f>
        <v>64.909090909090907</v>
      </c>
      <c r="E16" s="3">
        <f>SUM(E14:E15)</f>
        <v>9441.9599999999991</v>
      </c>
      <c r="F16" s="3">
        <f>SUM(F14:F15)</f>
        <v>3416</v>
      </c>
      <c r="G16" s="3">
        <f>SUM(G14:G15)</f>
        <v>6832</v>
      </c>
      <c r="H16" s="3">
        <f>SUM(H14:H15)</f>
        <v>16273.96</v>
      </c>
      <c r="I16" s="3">
        <f>IF(G16&gt;0, (E16/G16)*100, 0)</f>
        <v>138.20199063231848</v>
      </c>
      <c r="J16" s="3">
        <f>AVERAGE(J14:J15)</f>
        <v>20.76287166506463</v>
      </c>
      <c r="K16" s="3">
        <f>AVERAGE(K14:K15)</f>
        <v>1.52</v>
      </c>
      <c r="L16" s="3"/>
      <c r="M16" s="3"/>
      <c r="N16" s="3"/>
      <c r="O16" s="3"/>
      <c r="P16" s="3">
        <f>SUM(P14:P15)</f>
        <v>714</v>
      </c>
      <c r="Q16" s="3">
        <f>SUM(Q14:Q15)</f>
        <v>386</v>
      </c>
      <c r="R16" s="47">
        <f t="shared" si="0"/>
        <v>34.990391538249469</v>
      </c>
    </row>
    <row r="19" spans="1:18" ht="16" customHeight="1" x14ac:dyDescent="0.2">
      <c r="A19" s="29" t="s">
        <v>102</v>
      </c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</row>
    <row r="20" spans="1:18" x14ac:dyDescent="0.2">
      <c r="A20" s="1" t="s">
        <v>75</v>
      </c>
      <c r="B20" s="1" t="s">
        <v>76</v>
      </c>
      <c r="C20" s="1" t="s">
        <v>77</v>
      </c>
      <c r="D20" s="1" t="s">
        <v>78</v>
      </c>
      <c r="E20" s="1" t="s">
        <v>79</v>
      </c>
      <c r="F20" s="1" t="s">
        <v>80</v>
      </c>
      <c r="G20" s="1" t="s">
        <v>81</v>
      </c>
      <c r="H20" s="1" t="s">
        <v>82</v>
      </c>
      <c r="I20" s="1" t="s">
        <v>23</v>
      </c>
      <c r="J20" s="1" t="s">
        <v>22</v>
      </c>
      <c r="K20" s="1" t="s">
        <v>83</v>
      </c>
      <c r="L20" s="1" t="s">
        <v>84</v>
      </c>
      <c r="M20" s="1" t="s">
        <v>85</v>
      </c>
      <c r="N20" s="1" t="s">
        <v>86</v>
      </c>
      <c r="O20" s="1" t="s">
        <v>87</v>
      </c>
      <c r="P20" s="1" t="s">
        <v>88</v>
      </c>
      <c r="Q20" s="1" t="s">
        <v>89</v>
      </c>
      <c r="R20" s="48" t="s">
        <v>198</v>
      </c>
    </row>
    <row r="21" spans="1:18" x14ac:dyDescent="0.2">
      <c r="A21" s="2" t="s">
        <v>103</v>
      </c>
      <c r="B21" s="2">
        <v>5.29</v>
      </c>
      <c r="C21" s="2">
        <v>301</v>
      </c>
      <c r="D21" s="2">
        <f t="shared" ref="D21:D29" si="1">IF(C21&gt;0, (P21/C21)*100, 0)</f>
        <v>83.056478405315616</v>
      </c>
      <c r="E21" s="2">
        <v>1364.46</v>
      </c>
      <c r="F21" s="2">
        <v>778</v>
      </c>
      <c r="G21" s="2">
        <f t="shared" ref="G21:G28" si="2">F21*2</f>
        <v>1556</v>
      </c>
      <c r="H21" s="2">
        <f t="shared" ref="H21:H28" si="3">G21+E21</f>
        <v>2920.46</v>
      </c>
      <c r="I21" s="2">
        <f t="shared" ref="I21:I29" si="4">IF(G21&gt;0, (E21/G21)*100, 0)</f>
        <v>87.69023136246787</v>
      </c>
      <c r="J21" s="2">
        <f t="shared" ref="J21:J28" si="5">IF(AND(G21&gt;0, M21&gt;0), ((1+I21/100)^(1/M21)-1)*100, 0)</f>
        <v>12.995249585760194</v>
      </c>
      <c r="K21" s="2">
        <v>5.79</v>
      </c>
      <c r="L21" s="2">
        <v>1881</v>
      </c>
      <c r="M21" s="2">
        <f t="shared" ref="M21:M28" si="6">L21/365</f>
        <v>5.1534246575342468</v>
      </c>
      <c r="N21" s="2" t="s">
        <v>104</v>
      </c>
      <c r="O21" s="2" t="s">
        <v>105</v>
      </c>
      <c r="P21" s="2">
        <v>250</v>
      </c>
      <c r="Q21" s="2">
        <v>51</v>
      </c>
      <c r="R21" s="49">
        <f>B21*SQRT(C21)</f>
        <v>91.778069820627621</v>
      </c>
    </row>
    <row r="22" spans="1:18" x14ac:dyDescent="0.2">
      <c r="A22" s="2" t="s">
        <v>106</v>
      </c>
      <c r="B22" s="2">
        <v>2.8</v>
      </c>
      <c r="C22" s="2">
        <v>124</v>
      </c>
      <c r="D22" s="2">
        <f t="shared" si="1"/>
        <v>81.451612903225808</v>
      </c>
      <c r="E22" s="2">
        <v>614.49</v>
      </c>
      <c r="F22" s="2">
        <v>408.1</v>
      </c>
      <c r="G22" s="2">
        <f t="shared" si="2"/>
        <v>816.2</v>
      </c>
      <c r="H22" s="2">
        <f t="shared" si="3"/>
        <v>1430.69</v>
      </c>
      <c r="I22" s="2">
        <f t="shared" si="4"/>
        <v>75.286694437637834</v>
      </c>
      <c r="J22" s="2">
        <f t="shared" si="5"/>
        <v>11.656482853874728</v>
      </c>
      <c r="K22" s="2">
        <v>4.7</v>
      </c>
      <c r="L22" s="2">
        <v>1858</v>
      </c>
      <c r="M22" s="2">
        <f t="shared" si="6"/>
        <v>5.0904109589041093</v>
      </c>
      <c r="N22" s="2" t="s">
        <v>107</v>
      </c>
      <c r="O22" s="2" t="s">
        <v>108</v>
      </c>
      <c r="P22" s="2">
        <v>101</v>
      </c>
      <c r="Q22" s="2">
        <v>23</v>
      </c>
      <c r="R22" s="49">
        <f t="shared" ref="R22:R29" si="7">B22*SQRT(C22)</f>
        <v>31.17948043184812</v>
      </c>
    </row>
    <row r="23" spans="1:18" x14ac:dyDescent="0.2">
      <c r="A23" s="2" t="s">
        <v>109</v>
      </c>
      <c r="B23" s="2">
        <v>3.56</v>
      </c>
      <c r="C23" s="2">
        <v>109</v>
      </c>
      <c r="D23" s="2">
        <f t="shared" si="1"/>
        <v>82.568807339449549</v>
      </c>
      <c r="E23" s="2">
        <v>447.57</v>
      </c>
      <c r="F23" s="2">
        <v>154.80000000000001</v>
      </c>
      <c r="G23" s="2">
        <f t="shared" si="2"/>
        <v>309.60000000000002</v>
      </c>
      <c r="H23" s="2">
        <f t="shared" si="3"/>
        <v>757.17000000000007</v>
      </c>
      <c r="I23" s="2">
        <f t="shared" si="4"/>
        <v>144.56395348837208</v>
      </c>
      <c r="J23" s="2">
        <f t="shared" si="5"/>
        <v>18.733421849156649</v>
      </c>
      <c r="K23" s="2">
        <v>6.98</v>
      </c>
      <c r="L23" s="2">
        <v>1901</v>
      </c>
      <c r="M23" s="2">
        <f t="shared" si="6"/>
        <v>5.2082191780821914</v>
      </c>
      <c r="N23" s="2" t="s">
        <v>104</v>
      </c>
      <c r="O23" s="2" t="s">
        <v>110</v>
      </c>
      <c r="P23" s="2">
        <v>90</v>
      </c>
      <c r="Q23" s="2">
        <v>19</v>
      </c>
      <c r="R23" s="49">
        <f t="shared" si="7"/>
        <v>37.167491171721558</v>
      </c>
    </row>
    <row r="24" spans="1:18" x14ac:dyDescent="0.2">
      <c r="A24" s="2" t="s">
        <v>111</v>
      </c>
      <c r="B24" s="2">
        <v>4.5199999999999996</v>
      </c>
      <c r="C24" s="2">
        <v>106</v>
      </c>
      <c r="D24" s="2">
        <f t="shared" si="1"/>
        <v>87.735849056603783</v>
      </c>
      <c r="E24" s="2">
        <v>418.73</v>
      </c>
      <c r="F24" s="2">
        <v>93.2</v>
      </c>
      <c r="G24" s="2">
        <f t="shared" si="2"/>
        <v>186.4</v>
      </c>
      <c r="H24" s="2">
        <f t="shared" si="3"/>
        <v>605.13</v>
      </c>
      <c r="I24" s="2">
        <f t="shared" si="4"/>
        <v>224.64055793991417</v>
      </c>
      <c r="J24" s="2">
        <f t="shared" si="5"/>
        <v>26.042801356891143</v>
      </c>
      <c r="K24" s="2">
        <v>10.31</v>
      </c>
      <c r="L24" s="2">
        <v>1857</v>
      </c>
      <c r="M24" s="2">
        <f t="shared" si="6"/>
        <v>5.087671232876712</v>
      </c>
      <c r="N24" s="2" t="s">
        <v>112</v>
      </c>
      <c r="O24" s="2" t="s">
        <v>113</v>
      </c>
      <c r="P24" s="2">
        <v>93</v>
      </c>
      <c r="Q24" s="2">
        <v>13</v>
      </c>
      <c r="R24" s="49">
        <f t="shared" si="7"/>
        <v>46.53624823726124</v>
      </c>
    </row>
    <row r="25" spans="1:18" x14ac:dyDescent="0.2">
      <c r="A25" s="2" t="s">
        <v>114</v>
      </c>
      <c r="B25" s="2">
        <v>3.27</v>
      </c>
      <c r="C25" s="2">
        <v>132</v>
      </c>
      <c r="D25" s="2">
        <f t="shared" si="1"/>
        <v>81.818181818181827</v>
      </c>
      <c r="E25" s="2">
        <v>379.31</v>
      </c>
      <c r="F25" s="2">
        <v>289.60000000000002</v>
      </c>
      <c r="G25" s="2">
        <f t="shared" si="2"/>
        <v>579.20000000000005</v>
      </c>
      <c r="H25" s="2">
        <f t="shared" si="3"/>
        <v>958.51</v>
      </c>
      <c r="I25" s="2">
        <f t="shared" si="4"/>
        <v>65.488604972375683</v>
      </c>
      <c r="J25" s="2">
        <f t="shared" si="5"/>
        <v>9.8664454967939861</v>
      </c>
      <c r="K25" s="2">
        <v>5.08</v>
      </c>
      <c r="L25" s="2">
        <v>1954</v>
      </c>
      <c r="M25" s="2">
        <f t="shared" si="6"/>
        <v>5.353424657534247</v>
      </c>
      <c r="N25" s="2" t="s">
        <v>115</v>
      </c>
      <c r="O25" s="2" t="s">
        <v>116</v>
      </c>
      <c r="P25" s="2">
        <v>108</v>
      </c>
      <c r="Q25" s="2">
        <v>24</v>
      </c>
      <c r="R25" s="49">
        <f t="shared" si="7"/>
        <v>37.569439708358708</v>
      </c>
    </row>
    <row r="26" spans="1:18" x14ac:dyDescent="0.2">
      <c r="A26" s="2" t="s">
        <v>117</v>
      </c>
      <c r="B26" s="2">
        <v>5.26</v>
      </c>
      <c r="C26" s="2">
        <v>113</v>
      </c>
      <c r="D26" s="2">
        <f t="shared" si="1"/>
        <v>88.495575221238937</v>
      </c>
      <c r="E26" s="2">
        <v>552.72</v>
      </c>
      <c r="F26" s="2">
        <v>116.2</v>
      </c>
      <c r="G26" s="2">
        <f t="shared" si="2"/>
        <v>232.4</v>
      </c>
      <c r="H26" s="2">
        <f t="shared" si="3"/>
        <v>785.12</v>
      </c>
      <c r="I26" s="2">
        <f t="shared" si="4"/>
        <v>237.8313253012048</v>
      </c>
      <c r="J26" s="2">
        <f t="shared" si="5"/>
        <v>27.281152365685202</v>
      </c>
      <c r="K26" s="2">
        <v>14.14</v>
      </c>
      <c r="L26" s="2">
        <v>1842</v>
      </c>
      <c r="M26" s="2">
        <f t="shared" si="6"/>
        <v>5.0465753424657533</v>
      </c>
      <c r="N26" s="2" t="s">
        <v>118</v>
      </c>
      <c r="O26" s="2" t="s">
        <v>116</v>
      </c>
      <c r="P26" s="2">
        <v>100</v>
      </c>
      <c r="Q26" s="2">
        <v>13</v>
      </c>
      <c r="R26" s="49">
        <f t="shared" si="7"/>
        <v>55.914566974984254</v>
      </c>
    </row>
    <row r="27" spans="1:18" x14ac:dyDescent="0.2">
      <c r="A27" s="2" t="s">
        <v>119</v>
      </c>
      <c r="B27" s="2">
        <v>7.21</v>
      </c>
      <c r="C27" s="2">
        <v>265</v>
      </c>
      <c r="D27" s="2">
        <f t="shared" si="1"/>
        <v>86.79245283018868</v>
      </c>
      <c r="E27" s="2">
        <v>1000.41</v>
      </c>
      <c r="F27" s="2">
        <v>356.6</v>
      </c>
      <c r="G27" s="2">
        <f t="shared" si="2"/>
        <v>713.2</v>
      </c>
      <c r="H27" s="2">
        <f t="shared" si="3"/>
        <v>1713.6100000000001</v>
      </c>
      <c r="I27" s="2">
        <f t="shared" si="4"/>
        <v>140.2706113292204</v>
      </c>
      <c r="J27" s="2">
        <f t="shared" si="5"/>
        <v>17.557576988067993</v>
      </c>
      <c r="K27" s="2">
        <v>10.7</v>
      </c>
      <c r="L27" s="2">
        <v>1978</v>
      </c>
      <c r="M27" s="2">
        <f t="shared" si="6"/>
        <v>5.419178082191781</v>
      </c>
      <c r="N27" s="2" t="s">
        <v>120</v>
      </c>
      <c r="O27" s="2" t="s">
        <v>121</v>
      </c>
      <c r="P27" s="2">
        <v>230</v>
      </c>
      <c r="Q27" s="2">
        <v>35</v>
      </c>
      <c r="R27" s="49">
        <f t="shared" si="7"/>
        <v>117.37029649787888</v>
      </c>
    </row>
    <row r="28" spans="1:18" x14ac:dyDescent="0.2">
      <c r="A28" s="2" t="s">
        <v>122</v>
      </c>
      <c r="B28" s="2">
        <v>7.78</v>
      </c>
      <c r="C28" s="2">
        <v>669</v>
      </c>
      <c r="D28" s="2">
        <f t="shared" si="1"/>
        <v>83.109118086696569</v>
      </c>
      <c r="E28" s="2">
        <v>1812.78</v>
      </c>
      <c r="F28" s="2">
        <v>459.6</v>
      </c>
      <c r="G28" s="2">
        <f t="shared" si="2"/>
        <v>919.2</v>
      </c>
      <c r="H28" s="2">
        <f t="shared" si="3"/>
        <v>2731.98</v>
      </c>
      <c r="I28" s="2">
        <f t="shared" si="4"/>
        <v>197.21279373368145</v>
      </c>
      <c r="J28" s="2">
        <f t="shared" si="5"/>
        <v>22.375386638341421</v>
      </c>
      <c r="K28" s="2">
        <v>5.75</v>
      </c>
      <c r="L28" s="2">
        <v>1969</v>
      </c>
      <c r="M28" s="2">
        <f t="shared" si="6"/>
        <v>5.3945205479452056</v>
      </c>
      <c r="N28" s="2" t="s">
        <v>123</v>
      </c>
      <c r="O28" s="2" t="s">
        <v>124</v>
      </c>
      <c r="P28" s="2">
        <v>556</v>
      </c>
      <c r="Q28" s="2">
        <v>113</v>
      </c>
      <c r="R28" s="49">
        <f t="shared" si="7"/>
        <v>201.22996695323488</v>
      </c>
    </row>
    <row r="29" spans="1:18" x14ac:dyDescent="0.2">
      <c r="A29" s="3" t="s">
        <v>95</v>
      </c>
      <c r="B29" s="3">
        <f>AVERAGE(B21:B28)</f>
        <v>4.9612500000000006</v>
      </c>
      <c r="C29" s="3">
        <f>SUM(C21:C28)</f>
        <v>1819</v>
      </c>
      <c r="D29" s="3">
        <f t="shared" si="1"/>
        <v>84.002199010445295</v>
      </c>
      <c r="E29" s="3">
        <f>SUM(E21:E28)</f>
        <v>6590.4699999999993</v>
      </c>
      <c r="F29" s="3">
        <f>SUM(F21:F28)</f>
        <v>2656.1</v>
      </c>
      <c r="G29" s="3">
        <f>SUM(G21:G28)</f>
        <v>5312.2</v>
      </c>
      <c r="H29" s="3">
        <f>SUM(H21:H28)</f>
        <v>11902.67</v>
      </c>
      <c r="I29" s="3">
        <f t="shared" si="4"/>
        <v>124.06291178795979</v>
      </c>
      <c r="J29" s="3">
        <f>AVERAGE(J21:J28)</f>
        <v>18.313564641821415</v>
      </c>
      <c r="K29" s="3">
        <f>AVERAGE(K21:K28)</f>
        <v>7.9312500000000004</v>
      </c>
      <c r="L29" s="3"/>
      <c r="M29" s="3"/>
      <c r="N29" s="3"/>
      <c r="O29" s="3"/>
      <c r="P29" s="3">
        <f>SUM(P21:P28)</f>
        <v>1528</v>
      </c>
      <c r="Q29" s="3">
        <f>SUM(Q21:Q28)</f>
        <v>291</v>
      </c>
      <c r="R29" s="55">
        <f t="shared" si="7"/>
        <v>211.59600384267071</v>
      </c>
    </row>
    <row r="32" spans="1:18" ht="16" customHeight="1" x14ac:dyDescent="0.2">
      <c r="A32" s="52" t="s">
        <v>125</v>
      </c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</row>
    <row r="33" spans="1:18" x14ac:dyDescent="0.2">
      <c r="A33" s="1" t="s">
        <v>75</v>
      </c>
      <c r="B33" s="1" t="s">
        <v>76</v>
      </c>
      <c r="C33" s="1" t="s">
        <v>77</v>
      </c>
      <c r="D33" s="1" t="s">
        <v>78</v>
      </c>
      <c r="E33" s="1" t="s">
        <v>79</v>
      </c>
      <c r="F33" s="1" t="s">
        <v>80</v>
      </c>
      <c r="G33" s="1" t="s">
        <v>81</v>
      </c>
      <c r="H33" s="1" t="s">
        <v>82</v>
      </c>
      <c r="I33" s="1" t="s">
        <v>23</v>
      </c>
      <c r="J33" s="1" t="s">
        <v>22</v>
      </c>
      <c r="K33" s="1" t="s">
        <v>83</v>
      </c>
      <c r="L33" s="1" t="s">
        <v>84</v>
      </c>
      <c r="M33" s="1" t="s">
        <v>85</v>
      </c>
      <c r="N33" s="1" t="s">
        <v>86</v>
      </c>
      <c r="O33" s="1" t="s">
        <v>87</v>
      </c>
      <c r="P33" s="1" t="s">
        <v>88</v>
      </c>
      <c r="Q33" s="1" t="s">
        <v>89</v>
      </c>
      <c r="R33" s="45" t="s">
        <v>198</v>
      </c>
    </row>
    <row r="34" spans="1:18" x14ac:dyDescent="0.2">
      <c r="A34" s="2" t="s">
        <v>126</v>
      </c>
      <c r="B34" s="2">
        <v>1.44</v>
      </c>
      <c r="C34" s="2">
        <v>400</v>
      </c>
      <c r="D34" s="2">
        <f t="shared" ref="D34:D40" si="8">IF(C34&gt;0, (P34/C34)*100, 0)</f>
        <v>66.5</v>
      </c>
      <c r="E34" s="2">
        <v>40.97</v>
      </c>
      <c r="F34" s="2">
        <v>19.28</v>
      </c>
      <c r="G34" s="2">
        <f t="shared" ref="G34:G39" si="9">F34*2</f>
        <v>38.56</v>
      </c>
      <c r="H34" s="2">
        <f t="shared" ref="H34:H39" si="10">G34+E34</f>
        <v>79.53</v>
      </c>
      <c r="I34" s="2">
        <f t="shared" ref="I34:I40" si="11">IF(G34&gt;0, (E34/G34)*100, 0)</f>
        <v>106.25</v>
      </c>
      <c r="J34" s="2">
        <f t="shared" ref="J34:J39" si="12">IF(AND(G34&gt;0, M34&gt;0), ((1+I34/100)^(1/M34)-1)*100, 0)</f>
        <v>12.993398690782465</v>
      </c>
      <c r="K34" s="2">
        <v>1.99</v>
      </c>
      <c r="L34" s="2">
        <v>2163</v>
      </c>
      <c r="M34" s="2">
        <f t="shared" ref="M34:M39" si="13">L34/365</f>
        <v>5.9260273972602739</v>
      </c>
      <c r="N34" s="2" t="s">
        <v>127</v>
      </c>
      <c r="O34" s="2" t="s">
        <v>128</v>
      </c>
      <c r="P34" s="2">
        <v>266</v>
      </c>
      <c r="Q34" s="2">
        <v>134</v>
      </c>
      <c r="R34" s="49">
        <f>B34*SQRT(C34)</f>
        <v>28.799999999999997</v>
      </c>
    </row>
    <row r="35" spans="1:18" x14ac:dyDescent="0.2">
      <c r="A35" s="2" t="s">
        <v>129</v>
      </c>
      <c r="B35" s="2">
        <v>0.84</v>
      </c>
      <c r="C35" s="2">
        <v>354</v>
      </c>
      <c r="D35" s="2">
        <f t="shared" si="8"/>
        <v>62.711864406779661</v>
      </c>
      <c r="E35" s="2">
        <v>34.590000000000003</v>
      </c>
      <c r="F35" s="2">
        <v>23.23</v>
      </c>
      <c r="G35" s="2">
        <f t="shared" si="9"/>
        <v>46.46</v>
      </c>
      <c r="H35" s="2">
        <f t="shared" si="10"/>
        <v>81.050000000000011</v>
      </c>
      <c r="I35" s="2">
        <f t="shared" si="11"/>
        <v>74.451140766250546</v>
      </c>
      <c r="J35" s="2">
        <f t="shared" si="12"/>
        <v>9.8692721491212119</v>
      </c>
      <c r="K35" s="2">
        <v>1.68</v>
      </c>
      <c r="L35" s="2">
        <v>2158</v>
      </c>
      <c r="M35" s="2">
        <f t="shared" si="13"/>
        <v>5.912328767123288</v>
      </c>
      <c r="N35" s="2" t="s">
        <v>127</v>
      </c>
      <c r="O35" s="2" t="s">
        <v>130</v>
      </c>
      <c r="P35" s="2">
        <v>222</v>
      </c>
      <c r="Q35" s="2">
        <v>132</v>
      </c>
      <c r="R35" s="49">
        <f t="shared" ref="R35:R40" si="14">B35*SQRT(C35)</f>
        <v>15.804505686670494</v>
      </c>
    </row>
    <row r="36" spans="1:18" x14ac:dyDescent="0.2">
      <c r="A36" s="2" t="s">
        <v>131</v>
      </c>
      <c r="B36" s="2">
        <v>0.9</v>
      </c>
      <c r="C36" s="2">
        <v>301</v>
      </c>
      <c r="D36" s="2">
        <f t="shared" si="8"/>
        <v>58.471760797342199</v>
      </c>
      <c r="E36" s="2">
        <v>21.36</v>
      </c>
      <c r="F36" s="2">
        <v>17.09</v>
      </c>
      <c r="G36" s="2">
        <f t="shared" si="9"/>
        <v>34.18</v>
      </c>
      <c r="H36" s="2">
        <f t="shared" si="10"/>
        <v>55.54</v>
      </c>
      <c r="I36" s="2">
        <f t="shared" si="11"/>
        <v>62.492685781158578</v>
      </c>
      <c r="J36" s="2">
        <f t="shared" si="12"/>
        <v>8.4434355217986035</v>
      </c>
      <c r="K36" s="2">
        <v>1.41</v>
      </c>
      <c r="L36" s="2">
        <v>2186</v>
      </c>
      <c r="M36" s="2">
        <f t="shared" si="13"/>
        <v>5.9890410958904106</v>
      </c>
      <c r="N36" s="2" t="s">
        <v>127</v>
      </c>
      <c r="O36" s="2" t="s">
        <v>132</v>
      </c>
      <c r="P36" s="2">
        <v>176</v>
      </c>
      <c r="Q36" s="2">
        <v>125</v>
      </c>
      <c r="R36" s="49">
        <f t="shared" si="14"/>
        <v>15.614416415607725</v>
      </c>
    </row>
    <row r="37" spans="1:18" x14ac:dyDescent="0.2">
      <c r="A37" s="2" t="s">
        <v>133</v>
      </c>
      <c r="B37" s="2">
        <v>0.95</v>
      </c>
      <c r="C37" s="2">
        <v>192</v>
      </c>
      <c r="D37" s="2">
        <f t="shared" si="8"/>
        <v>65.625</v>
      </c>
      <c r="E37" s="2">
        <v>18.89</v>
      </c>
      <c r="F37" s="2">
        <v>20.25</v>
      </c>
      <c r="G37" s="2">
        <f t="shared" si="9"/>
        <v>40.5</v>
      </c>
      <c r="H37" s="2">
        <f t="shared" si="10"/>
        <v>59.39</v>
      </c>
      <c r="I37" s="2">
        <f t="shared" si="11"/>
        <v>46.641975308641975</v>
      </c>
      <c r="J37" s="2">
        <f t="shared" si="12"/>
        <v>6.8869842175339535</v>
      </c>
      <c r="K37" s="2">
        <v>1.91</v>
      </c>
      <c r="L37" s="2">
        <v>2098</v>
      </c>
      <c r="M37" s="2">
        <f t="shared" si="13"/>
        <v>5.7479452054794518</v>
      </c>
      <c r="N37" s="2" t="s">
        <v>127</v>
      </c>
      <c r="O37" s="2" t="s">
        <v>134</v>
      </c>
      <c r="P37" s="2">
        <v>126</v>
      </c>
      <c r="Q37" s="2">
        <v>66</v>
      </c>
      <c r="R37" s="49">
        <f t="shared" si="14"/>
        <v>13.163586137523467</v>
      </c>
    </row>
    <row r="38" spans="1:18" x14ac:dyDescent="0.2">
      <c r="A38" s="2" t="s">
        <v>135</v>
      </c>
      <c r="B38" s="2">
        <v>0.85</v>
      </c>
      <c r="C38" s="2">
        <v>218</v>
      </c>
      <c r="D38" s="2">
        <f t="shared" si="8"/>
        <v>62.844036697247709</v>
      </c>
      <c r="E38" s="2">
        <v>24.37</v>
      </c>
      <c r="F38" s="2">
        <v>16.829999999999998</v>
      </c>
      <c r="G38" s="2">
        <f t="shared" si="9"/>
        <v>33.659999999999997</v>
      </c>
      <c r="H38" s="2">
        <f t="shared" si="10"/>
        <v>58.03</v>
      </c>
      <c r="I38" s="2">
        <f t="shared" si="11"/>
        <v>72.400475341651827</v>
      </c>
      <c r="J38" s="2">
        <f t="shared" si="12"/>
        <v>9.6264072782966004</v>
      </c>
      <c r="K38" s="2">
        <v>1.69</v>
      </c>
      <c r="L38" s="2">
        <v>2163</v>
      </c>
      <c r="M38" s="2">
        <f t="shared" si="13"/>
        <v>5.9260273972602739</v>
      </c>
      <c r="N38" s="2" t="s">
        <v>127</v>
      </c>
      <c r="O38" s="2" t="s">
        <v>128</v>
      </c>
      <c r="P38" s="2">
        <v>137</v>
      </c>
      <c r="Q38" s="2">
        <v>81</v>
      </c>
      <c r="R38" s="49">
        <f t="shared" si="14"/>
        <v>12.55009960119839</v>
      </c>
    </row>
    <row r="39" spans="1:18" x14ac:dyDescent="0.2">
      <c r="A39" s="2" t="s">
        <v>136</v>
      </c>
      <c r="B39" s="2">
        <v>0.9</v>
      </c>
      <c r="C39" s="2">
        <v>258</v>
      </c>
      <c r="D39" s="2">
        <f t="shared" si="8"/>
        <v>64.341085271317837</v>
      </c>
      <c r="E39" s="2">
        <v>24.06</v>
      </c>
      <c r="F39" s="2">
        <v>6.34</v>
      </c>
      <c r="G39" s="2">
        <f t="shared" si="9"/>
        <v>12.68</v>
      </c>
      <c r="H39" s="2">
        <f t="shared" si="10"/>
        <v>36.739999999999995</v>
      </c>
      <c r="I39" s="2">
        <f t="shared" si="11"/>
        <v>189.74763406940062</v>
      </c>
      <c r="J39" s="2">
        <f t="shared" si="12"/>
        <v>19.644434183936998</v>
      </c>
      <c r="K39" s="2">
        <v>1.8</v>
      </c>
      <c r="L39" s="2">
        <v>2165</v>
      </c>
      <c r="M39" s="2">
        <f t="shared" si="13"/>
        <v>5.9315068493150687</v>
      </c>
      <c r="N39" s="2" t="s">
        <v>127</v>
      </c>
      <c r="O39" s="2" t="s">
        <v>137</v>
      </c>
      <c r="P39" s="2">
        <v>166</v>
      </c>
      <c r="Q39" s="2">
        <v>92</v>
      </c>
      <c r="R39" s="49">
        <f t="shared" si="14"/>
        <v>14.456140563788109</v>
      </c>
    </row>
    <row r="40" spans="1:18" x14ac:dyDescent="0.2">
      <c r="A40" s="3" t="s">
        <v>95</v>
      </c>
      <c r="B40" s="3">
        <f>AVERAGE(B34:B39)</f>
        <v>0.98</v>
      </c>
      <c r="C40" s="3">
        <f>SUM(C34:C39)</f>
        <v>1723</v>
      </c>
      <c r="D40" s="3">
        <f t="shared" si="8"/>
        <v>63.43586767266396</v>
      </c>
      <c r="E40" s="3">
        <f>SUM(E34:E39)</f>
        <v>164.24</v>
      </c>
      <c r="F40" s="3">
        <f>SUM(F34:F39)</f>
        <v>103.02000000000001</v>
      </c>
      <c r="G40" s="3">
        <f>SUM(G34:G39)</f>
        <v>206.04000000000002</v>
      </c>
      <c r="H40" s="3">
        <f>SUM(H34:H39)</f>
        <v>370.28</v>
      </c>
      <c r="I40" s="3">
        <f t="shared" si="11"/>
        <v>79.712677150067947</v>
      </c>
      <c r="J40" s="3">
        <f>AVERAGE(J34:J39)</f>
        <v>11.243988673578306</v>
      </c>
      <c r="K40" s="3">
        <f>AVERAGE(K34:K39)</f>
        <v>1.7466666666666668</v>
      </c>
      <c r="L40" s="3"/>
      <c r="M40" s="3"/>
      <c r="N40" s="3"/>
      <c r="O40" s="3"/>
      <c r="P40" s="3">
        <f>SUM(P34:P39)</f>
        <v>1093</v>
      </c>
      <c r="Q40" s="3">
        <f>SUM(Q34:Q39)</f>
        <v>630</v>
      </c>
      <c r="R40" s="55">
        <f t="shared" si="14"/>
        <v>40.678854457813827</v>
      </c>
    </row>
    <row r="43" spans="1:18" ht="16" customHeight="1" x14ac:dyDescent="0.2">
      <c r="A43" s="27" t="s">
        <v>138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</row>
    <row r="44" spans="1:18" x14ac:dyDescent="0.2">
      <c r="A44" s="1" t="s">
        <v>75</v>
      </c>
      <c r="B44" s="1" t="s">
        <v>76</v>
      </c>
      <c r="C44" s="1" t="s">
        <v>77</v>
      </c>
      <c r="D44" s="1" t="s">
        <v>78</v>
      </c>
      <c r="E44" s="1" t="s">
        <v>79</v>
      </c>
      <c r="F44" s="1" t="s">
        <v>80</v>
      </c>
      <c r="G44" s="1" t="s">
        <v>81</v>
      </c>
      <c r="H44" s="1" t="s">
        <v>82</v>
      </c>
      <c r="I44" s="1" t="s">
        <v>23</v>
      </c>
      <c r="J44" s="1" t="s">
        <v>22</v>
      </c>
      <c r="K44" s="1" t="s">
        <v>83</v>
      </c>
      <c r="L44" s="1" t="s">
        <v>84</v>
      </c>
      <c r="M44" s="1" t="s">
        <v>85</v>
      </c>
      <c r="N44" s="1" t="s">
        <v>86</v>
      </c>
      <c r="O44" s="1" t="s">
        <v>87</v>
      </c>
      <c r="P44" s="1" t="s">
        <v>88</v>
      </c>
      <c r="Q44" s="1" t="s">
        <v>89</v>
      </c>
      <c r="R44" s="45" t="s">
        <v>198</v>
      </c>
    </row>
    <row r="45" spans="1:18" x14ac:dyDescent="0.2">
      <c r="A45" s="2" t="s">
        <v>139</v>
      </c>
      <c r="B45" s="2">
        <v>2.61</v>
      </c>
      <c r="C45" s="2">
        <v>234</v>
      </c>
      <c r="D45" s="2">
        <f t="shared" ref="D45:D60" si="15">IF(C45&gt;0, (P45/C45)*100, 0)</f>
        <v>74.358974358974365</v>
      </c>
      <c r="E45" s="2">
        <v>475.29</v>
      </c>
      <c r="F45" s="2">
        <v>323.61</v>
      </c>
      <c r="G45" s="2">
        <f t="shared" ref="G45:G59" si="16">F45*2</f>
        <v>647.22</v>
      </c>
      <c r="H45" s="2">
        <f t="shared" ref="H45:H59" si="17">G45+E45</f>
        <v>1122.51</v>
      </c>
      <c r="I45" s="2">
        <f t="shared" ref="I45:I60" si="18">IF(G45&gt;0, (E45/G45)*100, 0)</f>
        <v>73.435616946324274</v>
      </c>
      <c r="J45" s="2">
        <f t="shared" ref="J45:J59" si="19">IF(AND(G45&gt;0, M45&gt;0), ((1+I45/100)^(1/M45)-1)*100, 0)</f>
        <v>10.144843704482675</v>
      </c>
      <c r="K45" s="2">
        <v>3.26</v>
      </c>
      <c r="L45" s="2">
        <v>2080</v>
      </c>
      <c r="M45" s="2">
        <f t="shared" ref="M45:M59" si="20">L45/365</f>
        <v>5.6986301369863011</v>
      </c>
      <c r="N45" s="2" t="s">
        <v>140</v>
      </c>
      <c r="O45" s="2" t="s">
        <v>141</v>
      </c>
      <c r="P45" s="2">
        <v>174</v>
      </c>
      <c r="Q45" s="2">
        <v>60</v>
      </c>
      <c r="R45" s="49">
        <f>B45*SQRT(C45)</f>
        <v>39.925322791431505</v>
      </c>
    </row>
    <row r="46" spans="1:18" x14ac:dyDescent="0.2">
      <c r="A46" s="2" t="s">
        <v>103</v>
      </c>
      <c r="B46" s="2">
        <v>1.01</v>
      </c>
      <c r="C46" s="2">
        <v>235</v>
      </c>
      <c r="D46" s="2">
        <f t="shared" si="15"/>
        <v>71.914893617021278</v>
      </c>
      <c r="E46" s="2">
        <v>500.63</v>
      </c>
      <c r="F46" s="2">
        <v>1262.53</v>
      </c>
      <c r="G46" s="2">
        <f t="shared" si="16"/>
        <v>2525.06</v>
      </c>
      <c r="H46" s="2">
        <f t="shared" si="17"/>
        <v>3025.69</v>
      </c>
      <c r="I46" s="2">
        <f t="shared" si="18"/>
        <v>19.826459569277564</v>
      </c>
      <c r="J46" s="2">
        <f t="shared" si="19"/>
        <v>3.2264812318246738</v>
      </c>
      <c r="K46" s="2">
        <v>1.78</v>
      </c>
      <c r="L46" s="2">
        <v>2079</v>
      </c>
      <c r="M46" s="2">
        <f t="shared" si="20"/>
        <v>5.6958904109589037</v>
      </c>
      <c r="N46" s="2" t="s">
        <v>140</v>
      </c>
      <c r="O46" s="2" t="s">
        <v>141</v>
      </c>
      <c r="P46" s="2">
        <v>169</v>
      </c>
      <c r="Q46" s="2">
        <v>66</v>
      </c>
      <c r="R46" s="49">
        <f t="shared" ref="R46:R60" si="21">B46*SQRT(C46)</f>
        <v>15.483006813923451</v>
      </c>
    </row>
    <row r="47" spans="1:18" x14ac:dyDescent="0.2">
      <c r="A47" s="2" t="s">
        <v>106</v>
      </c>
      <c r="B47" s="2">
        <v>1.4</v>
      </c>
      <c r="C47" s="2">
        <v>228</v>
      </c>
      <c r="D47" s="2">
        <f t="shared" si="15"/>
        <v>72.368421052631575</v>
      </c>
      <c r="E47" s="2">
        <v>461.92</v>
      </c>
      <c r="F47" s="2">
        <v>735.54</v>
      </c>
      <c r="G47" s="2">
        <f t="shared" si="16"/>
        <v>1471.08</v>
      </c>
      <c r="H47" s="2">
        <f t="shared" si="17"/>
        <v>1933</v>
      </c>
      <c r="I47" s="2">
        <f t="shared" si="18"/>
        <v>31.400059819996194</v>
      </c>
      <c r="J47" s="2">
        <f t="shared" si="19"/>
        <v>5.0122896559965602</v>
      </c>
      <c r="K47" s="2">
        <v>2.12</v>
      </c>
      <c r="L47" s="2">
        <v>2038</v>
      </c>
      <c r="M47" s="2">
        <f t="shared" si="20"/>
        <v>5.5835616438356164</v>
      </c>
      <c r="N47" s="2" t="s">
        <v>140</v>
      </c>
      <c r="O47" s="2" t="s">
        <v>142</v>
      </c>
      <c r="P47" s="2">
        <v>165</v>
      </c>
      <c r="Q47" s="2">
        <v>63</v>
      </c>
      <c r="R47" s="49">
        <f t="shared" si="21"/>
        <v>21.139536418758098</v>
      </c>
    </row>
    <row r="48" spans="1:18" x14ac:dyDescent="0.2">
      <c r="A48" s="2" t="s">
        <v>143</v>
      </c>
      <c r="B48" s="2">
        <v>1.01</v>
      </c>
      <c r="C48" s="2">
        <v>128</v>
      </c>
      <c r="D48" s="2">
        <f t="shared" si="15"/>
        <v>75.78125</v>
      </c>
      <c r="E48" s="2">
        <v>267.91000000000003</v>
      </c>
      <c r="F48" s="2">
        <v>727.1</v>
      </c>
      <c r="G48" s="2">
        <f t="shared" si="16"/>
        <v>1454.2</v>
      </c>
      <c r="H48" s="2">
        <f t="shared" si="17"/>
        <v>1722.1100000000001</v>
      </c>
      <c r="I48" s="2">
        <f t="shared" si="18"/>
        <v>18.423188007151701</v>
      </c>
      <c r="J48" s="2">
        <f t="shared" si="19"/>
        <v>3.0808942620801583</v>
      </c>
      <c r="K48" s="2">
        <v>2.17</v>
      </c>
      <c r="L48" s="2">
        <v>2034</v>
      </c>
      <c r="M48" s="2">
        <f t="shared" si="20"/>
        <v>5.5726027397260278</v>
      </c>
      <c r="N48" s="2" t="s">
        <v>140</v>
      </c>
      <c r="O48" s="2" t="s">
        <v>144</v>
      </c>
      <c r="P48" s="2">
        <v>97</v>
      </c>
      <c r="Q48" s="2">
        <v>31</v>
      </c>
      <c r="R48" s="49">
        <f t="shared" si="21"/>
        <v>11.426845583974609</v>
      </c>
    </row>
    <row r="49" spans="1:18" x14ac:dyDescent="0.2">
      <c r="A49" s="2" t="s">
        <v>145</v>
      </c>
      <c r="B49" s="2">
        <v>2.1800000000000002</v>
      </c>
      <c r="C49" s="2">
        <v>230</v>
      </c>
      <c r="D49" s="2">
        <f t="shared" si="15"/>
        <v>73.043478260869563</v>
      </c>
      <c r="E49" s="2">
        <v>372.34</v>
      </c>
      <c r="F49" s="2">
        <v>317.39999999999998</v>
      </c>
      <c r="G49" s="2">
        <f t="shared" si="16"/>
        <v>634.79999999999995</v>
      </c>
      <c r="H49" s="2">
        <f t="shared" si="17"/>
        <v>1007.1399999999999</v>
      </c>
      <c r="I49" s="2">
        <f t="shared" si="18"/>
        <v>58.65469439193447</v>
      </c>
      <c r="J49" s="2">
        <f t="shared" si="19"/>
        <v>8.5434349837455024</v>
      </c>
      <c r="K49" s="2">
        <v>2.82</v>
      </c>
      <c r="L49" s="2">
        <v>2055</v>
      </c>
      <c r="M49" s="2">
        <f t="shared" si="20"/>
        <v>5.6301369863013697</v>
      </c>
      <c r="N49" s="2" t="s">
        <v>140</v>
      </c>
      <c r="O49" s="2" t="s">
        <v>146</v>
      </c>
      <c r="P49" s="2">
        <v>168</v>
      </c>
      <c r="Q49" s="2">
        <v>62</v>
      </c>
      <c r="R49" s="49">
        <f t="shared" si="21"/>
        <v>33.061336936064762</v>
      </c>
    </row>
    <row r="50" spans="1:18" x14ac:dyDescent="0.2">
      <c r="A50" s="2" t="s">
        <v>147</v>
      </c>
      <c r="B50" s="2">
        <v>1.0900000000000001</v>
      </c>
      <c r="C50" s="2">
        <v>188</v>
      </c>
      <c r="D50" s="2">
        <f t="shared" si="15"/>
        <v>69.148936170212778</v>
      </c>
      <c r="E50" s="2">
        <v>254.6</v>
      </c>
      <c r="F50" s="2">
        <v>486.55</v>
      </c>
      <c r="G50" s="2">
        <f t="shared" si="16"/>
        <v>973.1</v>
      </c>
      <c r="H50" s="2">
        <f t="shared" si="17"/>
        <v>1227.7</v>
      </c>
      <c r="I50" s="2">
        <f t="shared" si="18"/>
        <v>26.163806391943272</v>
      </c>
      <c r="J50" s="2">
        <f t="shared" si="19"/>
        <v>4.3305248701648758</v>
      </c>
      <c r="K50" s="2">
        <v>1.82</v>
      </c>
      <c r="L50" s="2">
        <v>2001</v>
      </c>
      <c r="M50" s="2">
        <f t="shared" si="20"/>
        <v>5.4821917808219176</v>
      </c>
      <c r="N50" s="2" t="s">
        <v>140</v>
      </c>
      <c r="O50" s="2" t="s">
        <v>148</v>
      </c>
      <c r="P50" s="2">
        <v>130</v>
      </c>
      <c r="Q50" s="2">
        <v>58</v>
      </c>
      <c r="R50" s="49">
        <f t="shared" si="21"/>
        <v>14.945327028874276</v>
      </c>
    </row>
    <row r="51" spans="1:18" x14ac:dyDescent="0.2">
      <c r="A51" s="2" t="s">
        <v>109</v>
      </c>
      <c r="B51" s="2">
        <v>3.13</v>
      </c>
      <c r="C51" s="2">
        <v>249</v>
      </c>
      <c r="D51" s="2">
        <f t="shared" si="15"/>
        <v>73.493975903614455</v>
      </c>
      <c r="E51" s="2">
        <v>409.53</v>
      </c>
      <c r="F51" s="2">
        <v>141.11000000000001</v>
      </c>
      <c r="G51" s="2">
        <f t="shared" si="16"/>
        <v>282.22000000000003</v>
      </c>
      <c r="H51" s="2">
        <f t="shared" si="17"/>
        <v>691.75</v>
      </c>
      <c r="I51" s="2">
        <f t="shared" si="18"/>
        <v>145.11019771809225</v>
      </c>
      <c r="J51" s="2">
        <f t="shared" si="19"/>
        <v>17.417685409072071</v>
      </c>
      <c r="K51" s="2">
        <v>3.68</v>
      </c>
      <c r="L51" s="2">
        <v>2038</v>
      </c>
      <c r="M51" s="2">
        <f t="shared" si="20"/>
        <v>5.5835616438356164</v>
      </c>
      <c r="N51" s="2" t="s">
        <v>140</v>
      </c>
      <c r="O51" s="2" t="s">
        <v>142</v>
      </c>
      <c r="P51" s="2">
        <v>183</v>
      </c>
      <c r="Q51" s="2">
        <v>66</v>
      </c>
      <c r="R51" s="49">
        <f t="shared" si="21"/>
        <v>49.390566913126229</v>
      </c>
    </row>
    <row r="52" spans="1:18" x14ac:dyDescent="0.2">
      <c r="A52" s="2" t="s">
        <v>149</v>
      </c>
      <c r="B52" s="2">
        <v>1.46</v>
      </c>
      <c r="C52" s="2">
        <v>270</v>
      </c>
      <c r="D52" s="2">
        <f t="shared" si="15"/>
        <v>71.851851851851862</v>
      </c>
      <c r="E52" s="2">
        <v>334.17</v>
      </c>
      <c r="F52" s="2">
        <v>495.84</v>
      </c>
      <c r="G52" s="2">
        <f t="shared" si="16"/>
        <v>991.68</v>
      </c>
      <c r="H52" s="2">
        <f t="shared" si="17"/>
        <v>1325.85</v>
      </c>
      <c r="I52" s="2">
        <f t="shared" si="18"/>
        <v>33.697362052274933</v>
      </c>
      <c r="J52" s="2">
        <f t="shared" si="19"/>
        <v>5.4095931737067726</v>
      </c>
      <c r="K52" s="2">
        <v>1.84</v>
      </c>
      <c r="L52" s="2">
        <v>2012</v>
      </c>
      <c r="M52" s="2">
        <f t="shared" si="20"/>
        <v>5.5123287671232877</v>
      </c>
      <c r="N52" s="2" t="s">
        <v>140</v>
      </c>
      <c r="O52" s="2" t="s">
        <v>150</v>
      </c>
      <c r="P52" s="2">
        <v>194</v>
      </c>
      <c r="Q52" s="2">
        <v>76</v>
      </c>
      <c r="R52" s="49">
        <f t="shared" si="21"/>
        <v>23.990248018726273</v>
      </c>
    </row>
    <row r="53" spans="1:18" x14ac:dyDescent="0.2">
      <c r="A53" s="2" t="s">
        <v>151</v>
      </c>
      <c r="B53" s="2">
        <v>1.29</v>
      </c>
      <c r="C53" s="2">
        <v>179</v>
      </c>
      <c r="D53" s="2">
        <f t="shared" si="15"/>
        <v>72.067039106145245</v>
      </c>
      <c r="E53" s="2">
        <v>239.85</v>
      </c>
      <c r="F53" s="2">
        <v>592.92999999999995</v>
      </c>
      <c r="G53" s="2">
        <f t="shared" si="16"/>
        <v>1185.8599999999999</v>
      </c>
      <c r="H53" s="2">
        <f t="shared" si="17"/>
        <v>1425.7099999999998</v>
      </c>
      <c r="I53" s="2">
        <f t="shared" si="18"/>
        <v>20.225827669370751</v>
      </c>
      <c r="J53" s="2">
        <f t="shared" si="19"/>
        <v>3.3208898889682592</v>
      </c>
      <c r="K53" s="2">
        <v>2.02</v>
      </c>
      <c r="L53" s="2">
        <v>2058</v>
      </c>
      <c r="M53" s="2">
        <f t="shared" si="20"/>
        <v>5.6383561643835618</v>
      </c>
      <c r="N53" s="2" t="s">
        <v>140</v>
      </c>
      <c r="O53" s="2" t="s">
        <v>152</v>
      </c>
      <c r="P53" s="2">
        <v>129</v>
      </c>
      <c r="Q53" s="2">
        <v>50</v>
      </c>
      <c r="R53" s="49">
        <f t="shared" si="21"/>
        <v>17.259023726734952</v>
      </c>
    </row>
    <row r="54" spans="1:18" x14ac:dyDescent="0.2">
      <c r="A54" s="2" t="s">
        <v>153</v>
      </c>
      <c r="B54" s="2">
        <v>0.97</v>
      </c>
      <c r="C54" s="2">
        <v>323</v>
      </c>
      <c r="D54" s="2">
        <f t="shared" si="15"/>
        <v>69.040247678018574</v>
      </c>
      <c r="E54" s="2">
        <v>306.26</v>
      </c>
      <c r="F54" s="2">
        <v>674.92</v>
      </c>
      <c r="G54" s="2">
        <f t="shared" si="16"/>
        <v>1349.84</v>
      </c>
      <c r="H54" s="2">
        <f t="shared" si="17"/>
        <v>1656.1</v>
      </c>
      <c r="I54" s="2">
        <f t="shared" si="18"/>
        <v>22.68861494695668</v>
      </c>
      <c r="J54" s="2">
        <f t="shared" si="19"/>
        <v>3.7620098074273134</v>
      </c>
      <c r="K54" s="2">
        <v>1.48</v>
      </c>
      <c r="L54" s="2">
        <v>2021</v>
      </c>
      <c r="M54" s="2">
        <f t="shared" si="20"/>
        <v>5.536986301369863</v>
      </c>
      <c r="N54" s="2" t="s">
        <v>140</v>
      </c>
      <c r="O54" s="2" t="s">
        <v>154</v>
      </c>
      <c r="P54" s="2">
        <v>223</v>
      </c>
      <c r="Q54" s="2">
        <v>100</v>
      </c>
      <c r="R54" s="49">
        <f t="shared" si="21"/>
        <v>17.433034732943085</v>
      </c>
    </row>
    <row r="55" spans="1:18" x14ac:dyDescent="0.2">
      <c r="A55" s="2" t="s">
        <v>155</v>
      </c>
      <c r="B55" s="2">
        <v>1.53</v>
      </c>
      <c r="C55" s="2">
        <v>250</v>
      </c>
      <c r="D55" s="2">
        <f t="shared" si="15"/>
        <v>75.599999999999994</v>
      </c>
      <c r="E55" s="2">
        <v>348.77</v>
      </c>
      <c r="F55" s="2">
        <v>553.53</v>
      </c>
      <c r="G55" s="2">
        <f t="shared" si="16"/>
        <v>1107.06</v>
      </c>
      <c r="H55" s="2">
        <f t="shared" si="17"/>
        <v>1455.83</v>
      </c>
      <c r="I55" s="2">
        <f t="shared" si="18"/>
        <v>31.504164182609795</v>
      </c>
      <c r="J55" s="2">
        <f t="shared" si="19"/>
        <v>5.1015735577188748</v>
      </c>
      <c r="K55" s="2">
        <v>2.2200000000000002</v>
      </c>
      <c r="L55" s="2">
        <v>2009</v>
      </c>
      <c r="M55" s="2">
        <f t="shared" si="20"/>
        <v>5.5041095890410956</v>
      </c>
      <c r="N55" s="2" t="s">
        <v>140</v>
      </c>
      <c r="O55" s="2" t="s">
        <v>156</v>
      </c>
      <c r="P55" s="2">
        <v>189</v>
      </c>
      <c r="Q55" s="2">
        <v>61</v>
      </c>
      <c r="R55" s="49">
        <f t="shared" si="21"/>
        <v>24.191424100288103</v>
      </c>
    </row>
    <row r="56" spans="1:18" x14ac:dyDescent="0.2">
      <c r="A56" s="2" t="s">
        <v>157</v>
      </c>
      <c r="B56" s="2">
        <v>1.53</v>
      </c>
      <c r="C56" s="2">
        <v>224</v>
      </c>
      <c r="D56" s="2">
        <f t="shared" si="15"/>
        <v>73.214285714285708</v>
      </c>
      <c r="E56" s="2">
        <v>640.79999999999995</v>
      </c>
      <c r="F56" s="2">
        <v>763.98</v>
      </c>
      <c r="G56" s="2">
        <f t="shared" si="16"/>
        <v>1527.96</v>
      </c>
      <c r="H56" s="2">
        <f t="shared" si="17"/>
        <v>2168.7600000000002</v>
      </c>
      <c r="I56" s="2">
        <f t="shared" si="18"/>
        <v>41.938270635356943</v>
      </c>
      <c r="J56" s="2">
        <f t="shared" si="19"/>
        <v>6.5294606769438657</v>
      </c>
      <c r="K56" s="2">
        <v>2.25</v>
      </c>
      <c r="L56" s="2">
        <v>2021</v>
      </c>
      <c r="M56" s="2">
        <f t="shared" si="20"/>
        <v>5.536986301369863</v>
      </c>
      <c r="N56" s="2" t="s">
        <v>140</v>
      </c>
      <c r="O56" s="2" t="s">
        <v>158</v>
      </c>
      <c r="P56" s="2">
        <v>164</v>
      </c>
      <c r="Q56" s="2">
        <v>60</v>
      </c>
      <c r="R56" s="49">
        <f t="shared" si="21"/>
        <v>22.898943207056522</v>
      </c>
    </row>
    <row r="57" spans="1:18" x14ac:dyDescent="0.2">
      <c r="A57" s="2" t="s">
        <v>117</v>
      </c>
      <c r="B57" s="2">
        <v>1.85</v>
      </c>
      <c r="C57" s="2">
        <v>205</v>
      </c>
      <c r="D57" s="2">
        <f t="shared" si="15"/>
        <v>67.804878048780495</v>
      </c>
      <c r="E57" s="2">
        <v>260.08999999999997</v>
      </c>
      <c r="F57" s="2">
        <v>267.04000000000002</v>
      </c>
      <c r="G57" s="2">
        <f t="shared" si="16"/>
        <v>534.08000000000004</v>
      </c>
      <c r="H57" s="2">
        <f t="shared" si="17"/>
        <v>794.17000000000007</v>
      </c>
      <c r="I57" s="2">
        <f t="shared" si="18"/>
        <v>48.698696824445769</v>
      </c>
      <c r="J57" s="2">
        <f t="shared" si="19"/>
        <v>7.8214598428950177</v>
      </c>
      <c r="K57" s="2">
        <v>2.38</v>
      </c>
      <c r="L57" s="2">
        <v>1923</v>
      </c>
      <c r="M57" s="2">
        <f t="shared" si="20"/>
        <v>5.2684931506849315</v>
      </c>
      <c r="N57" s="2" t="s">
        <v>140</v>
      </c>
      <c r="O57" s="2" t="s">
        <v>113</v>
      </c>
      <c r="P57" s="2">
        <v>139</v>
      </c>
      <c r="Q57" s="2">
        <v>66</v>
      </c>
      <c r="R57" s="49">
        <f t="shared" si="21"/>
        <v>26.487968967061256</v>
      </c>
    </row>
    <row r="58" spans="1:18" x14ac:dyDescent="0.2">
      <c r="A58" s="2" t="s">
        <v>119</v>
      </c>
      <c r="B58" s="2">
        <v>2.17</v>
      </c>
      <c r="C58" s="2">
        <v>257</v>
      </c>
      <c r="D58" s="2">
        <f t="shared" si="15"/>
        <v>73.540856031128413</v>
      </c>
      <c r="E58" s="2">
        <v>332.29</v>
      </c>
      <c r="F58" s="2">
        <v>256.2</v>
      </c>
      <c r="G58" s="2">
        <f t="shared" si="16"/>
        <v>512.4</v>
      </c>
      <c r="H58" s="2">
        <f t="shared" si="17"/>
        <v>844.69</v>
      </c>
      <c r="I58" s="2">
        <f t="shared" si="18"/>
        <v>64.849726775956299</v>
      </c>
      <c r="J58" s="2">
        <f t="shared" si="19"/>
        <v>9.5917124455183966</v>
      </c>
      <c r="K58" s="2">
        <v>3.32</v>
      </c>
      <c r="L58" s="2">
        <v>1992</v>
      </c>
      <c r="M58" s="2">
        <f t="shared" si="20"/>
        <v>5.4575342465753423</v>
      </c>
      <c r="N58" s="2" t="s">
        <v>140</v>
      </c>
      <c r="O58" s="2" t="s">
        <v>159</v>
      </c>
      <c r="P58" s="2">
        <v>189</v>
      </c>
      <c r="Q58" s="2">
        <v>68</v>
      </c>
      <c r="R58" s="49">
        <f t="shared" si="21"/>
        <v>34.787746405882636</v>
      </c>
    </row>
    <row r="59" spans="1:18" x14ac:dyDescent="0.2">
      <c r="A59" s="2" t="s">
        <v>122</v>
      </c>
      <c r="B59" s="2">
        <v>4.26</v>
      </c>
      <c r="C59" s="2">
        <v>192</v>
      </c>
      <c r="D59" s="2">
        <f t="shared" si="15"/>
        <v>77.083333333333343</v>
      </c>
      <c r="E59" s="2">
        <v>257.07</v>
      </c>
      <c r="F59" s="2">
        <v>149.09</v>
      </c>
      <c r="G59" s="2">
        <f t="shared" si="16"/>
        <v>298.18</v>
      </c>
      <c r="H59" s="2">
        <f t="shared" si="17"/>
        <v>555.25</v>
      </c>
      <c r="I59" s="2">
        <f t="shared" si="18"/>
        <v>86.213025689181023</v>
      </c>
      <c r="J59" s="2">
        <f t="shared" si="19"/>
        <v>12.525242819703442</v>
      </c>
      <c r="K59" s="2">
        <v>6.51</v>
      </c>
      <c r="L59" s="2">
        <v>1923</v>
      </c>
      <c r="M59" s="2">
        <f t="shared" si="20"/>
        <v>5.2684931506849315</v>
      </c>
      <c r="N59" s="2" t="s">
        <v>140</v>
      </c>
      <c r="O59" s="2" t="s">
        <v>113</v>
      </c>
      <c r="P59" s="2">
        <v>148</v>
      </c>
      <c r="Q59" s="2">
        <v>44</v>
      </c>
      <c r="R59" s="49">
        <f t="shared" si="21"/>
        <v>59.028291521947331</v>
      </c>
    </row>
    <row r="60" spans="1:18" x14ac:dyDescent="0.2">
      <c r="A60" s="3" t="s">
        <v>95</v>
      </c>
      <c r="B60" s="3">
        <f>AVERAGE(B45:B59)</f>
        <v>1.8326666666666669</v>
      </c>
      <c r="C60" s="3">
        <f>SUM(C45:C59)</f>
        <v>3392</v>
      </c>
      <c r="D60" s="3">
        <f t="shared" si="15"/>
        <v>72.553066037735846</v>
      </c>
      <c r="E60" s="3">
        <f>SUM(E45:E59)</f>
        <v>5461.5199999999995</v>
      </c>
      <c r="F60" s="3">
        <f>SUM(F45:F59)</f>
        <v>7747.3700000000008</v>
      </c>
      <c r="G60" s="3">
        <f>SUM(G45:G59)</f>
        <v>15494.740000000002</v>
      </c>
      <c r="H60" s="3">
        <f>SUM(H45:H59)</f>
        <v>20956.259999999998</v>
      </c>
      <c r="I60" s="3">
        <f t="shared" si="18"/>
        <v>35.247574338130221</v>
      </c>
      <c r="J60" s="3">
        <f>AVERAGE(J45:J59)</f>
        <v>7.0545397553498974</v>
      </c>
      <c r="K60" s="3">
        <f>AVERAGE(K45:K59)</f>
        <v>2.6446666666666663</v>
      </c>
      <c r="L60" s="3"/>
      <c r="M60" s="3"/>
      <c r="N60" s="3"/>
      <c r="O60" s="3"/>
      <c r="P60" s="3">
        <f>SUM(P45:P59)</f>
        <v>2461</v>
      </c>
      <c r="Q60" s="3">
        <f>SUM(Q45:Q59)</f>
        <v>931</v>
      </c>
      <c r="R60" s="55">
        <f t="shared" si="21"/>
        <v>106.73611779003811</v>
      </c>
    </row>
    <row r="63" spans="1:18" ht="16" customHeight="1" x14ac:dyDescent="0.2">
      <c r="A63" s="53" t="s">
        <v>160</v>
      </c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</row>
    <row r="64" spans="1:18" x14ac:dyDescent="0.2">
      <c r="A64" s="1" t="s">
        <v>75</v>
      </c>
      <c r="B64" s="1" t="s">
        <v>76</v>
      </c>
      <c r="C64" s="1" t="s">
        <v>77</v>
      </c>
      <c r="D64" s="1" t="s">
        <v>78</v>
      </c>
      <c r="E64" s="1" t="s">
        <v>79</v>
      </c>
      <c r="F64" s="1" t="s">
        <v>80</v>
      </c>
      <c r="G64" s="1" t="s">
        <v>81</v>
      </c>
      <c r="H64" s="1" t="s">
        <v>82</v>
      </c>
      <c r="I64" s="1" t="s">
        <v>23</v>
      </c>
      <c r="J64" s="1" t="s">
        <v>22</v>
      </c>
      <c r="K64" s="1" t="s">
        <v>83</v>
      </c>
      <c r="L64" s="1" t="s">
        <v>84</v>
      </c>
      <c r="M64" s="1" t="s">
        <v>85</v>
      </c>
      <c r="N64" s="1" t="s">
        <v>86</v>
      </c>
      <c r="O64" s="1" t="s">
        <v>87</v>
      </c>
      <c r="P64" s="1" t="s">
        <v>88</v>
      </c>
      <c r="Q64" s="1" t="s">
        <v>89</v>
      </c>
      <c r="R64" s="45" t="s">
        <v>198</v>
      </c>
    </row>
    <row r="65" spans="1:18" x14ac:dyDescent="0.2">
      <c r="A65" s="2" t="s">
        <v>161</v>
      </c>
      <c r="B65" s="2">
        <v>2</v>
      </c>
      <c r="C65" s="2">
        <v>1317</v>
      </c>
      <c r="D65" s="2">
        <f>IF(C65&gt;0, (P65/C65)*100, 0)</f>
        <v>99.6962794229309</v>
      </c>
      <c r="E65" s="2">
        <v>21525.9</v>
      </c>
      <c r="F65" s="2">
        <v>6752</v>
      </c>
      <c r="G65" s="2">
        <f>F65*2</f>
        <v>13504</v>
      </c>
      <c r="H65" s="2">
        <f>G65+E65</f>
        <v>35029.9</v>
      </c>
      <c r="I65" s="2">
        <f>IF(G65&gt;0, (E65/G65)*100, 0)</f>
        <v>159.40388033175356</v>
      </c>
      <c r="J65" s="2">
        <f>IF(AND(G65&gt;0, M65&gt;0), ((1+I65/100)^(1/M65)-1)*100, 0)</f>
        <v>18.786111544646733</v>
      </c>
      <c r="K65" s="2">
        <v>130.12</v>
      </c>
      <c r="L65" s="2">
        <v>2021</v>
      </c>
      <c r="M65" s="2">
        <f>L65/365</f>
        <v>5.536986301369863</v>
      </c>
      <c r="N65" s="2" t="s">
        <v>91</v>
      </c>
      <c r="O65" s="2" t="s">
        <v>92</v>
      </c>
      <c r="P65" s="2">
        <v>1313</v>
      </c>
      <c r="Q65" s="2">
        <v>4</v>
      </c>
      <c r="R65" s="49">
        <f>B65*SQRT(C65)</f>
        <v>72.580989246496216</v>
      </c>
    </row>
    <row r="66" spans="1:18" x14ac:dyDescent="0.2">
      <c r="A66" s="2" t="s">
        <v>162</v>
      </c>
      <c r="B66" s="2">
        <v>5.77</v>
      </c>
      <c r="C66" s="2">
        <v>1261</v>
      </c>
      <c r="D66" s="2">
        <f>IF(C66&gt;0, (P66/C66)*100, 0)</f>
        <v>81.839809674861215</v>
      </c>
      <c r="E66" s="2">
        <v>6189.67</v>
      </c>
      <c r="F66" s="2">
        <v>3319</v>
      </c>
      <c r="G66" s="2">
        <f>F66*2</f>
        <v>6638</v>
      </c>
      <c r="H66" s="2">
        <f>G66+E66</f>
        <v>12827.67</v>
      </c>
      <c r="I66" s="2">
        <f>IF(G66&gt;0, (E66/G66)*100, 0)</f>
        <v>93.246007833684843</v>
      </c>
      <c r="J66" s="2">
        <f>IF(AND(G66&gt;0, M66&gt;0), ((1+I66/100)^(1/M66)-1)*100, 0)</f>
        <v>11.775695632445405</v>
      </c>
      <c r="K66" s="2">
        <v>5.58</v>
      </c>
      <c r="L66" s="2">
        <v>2160</v>
      </c>
      <c r="M66" s="2">
        <f>L66/365</f>
        <v>5.9178082191780819</v>
      </c>
      <c r="N66" s="2" t="s">
        <v>127</v>
      </c>
      <c r="O66" s="2" t="s">
        <v>94</v>
      </c>
      <c r="P66" s="2">
        <v>1032</v>
      </c>
      <c r="Q66" s="2">
        <v>229</v>
      </c>
      <c r="R66" s="49">
        <f t="shared" ref="R66:R67" si="22">B66*SQRT(C66)</f>
        <v>204.89594163867665</v>
      </c>
    </row>
    <row r="67" spans="1:18" x14ac:dyDescent="0.2">
      <c r="A67" s="3" t="s">
        <v>95</v>
      </c>
      <c r="B67" s="3">
        <f>AVERAGE(B65:B66)</f>
        <v>3.8849999999999998</v>
      </c>
      <c r="C67" s="3">
        <f>SUM(C65:C66)</f>
        <v>2578</v>
      </c>
      <c r="D67" s="3">
        <f>IF(C67&gt;0, (P67/C67)*100, 0)</f>
        <v>90.961986035686579</v>
      </c>
      <c r="E67" s="3">
        <f>SUM(E65:E66)</f>
        <v>27715.57</v>
      </c>
      <c r="F67" s="3">
        <f>SUM(F65:F66)</f>
        <v>10071</v>
      </c>
      <c r="G67" s="3">
        <f>SUM(G65:G66)</f>
        <v>20142</v>
      </c>
      <c r="H67" s="3">
        <f>SUM(H65:H66)</f>
        <v>47857.57</v>
      </c>
      <c r="I67" s="3">
        <f>IF(G67&gt;0, (E67/G67)*100, 0)</f>
        <v>137.60088372554858</v>
      </c>
      <c r="J67" s="3">
        <f>AVERAGE(J65:J66)</f>
        <v>15.280903588546069</v>
      </c>
      <c r="K67" s="3">
        <f>AVERAGE(K65:K66)</f>
        <v>67.850000000000009</v>
      </c>
      <c r="L67" s="3"/>
      <c r="M67" s="3"/>
      <c r="N67" s="3"/>
      <c r="O67" s="3"/>
      <c r="P67" s="3">
        <f>SUM(P65:P66)</f>
        <v>2345</v>
      </c>
      <c r="Q67" s="3">
        <f>SUM(Q65:Q66)</f>
        <v>233</v>
      </c>
      <c r="R67" s="49">
        <f t="shared" si="22"/>
        <v>197.25702535017604</v>
      </c>
    </row>
    <row r="70" spans="1:18" ht="16" customHeight="1" x14ac:dyDescent="0.2">
      <c r="A70" s="24" t="s">
        <v>163</v>
      </c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</row>
    <row r="71" spans="1:18" x14ac:dyDescent="0.2">
      <c r="A71" s="1" t="s">
        <v>75</v>
      </c>
      <c r="B71" s="1" t="s">
        <v>76</v>
      </c>
      <c r="C71" s="1" t="s">
        <v>77</v>
      </c>
      <c r="D71" s="1" t="s">
        <v>78</v>
      </c>
      <c r="E71" s="1" t="s">
        <v>79</v>
      </c>
      <c r="F71" s="1" t="s">
        <v>80</v>
      </c>
      <c r="G71" s="1" t="s">
        <v>81</v>
      </c>
      <c r="H71" s="1" t="s">
        <v>82</v>
      </c>
      <c r="I71" s="1" t="s">
        <v>23</v>
      </c>
      <c r="J71" s="1" t="s">
        <v>22</v>
      </c>
      <c r="K71" s="1" t="s">
        <v>83</v>
      </c>
      <c r="L71" s="1" t="s">
        <v>84</v>
      </c>
      <c r="M71" s="1" t="s">
        <v>85</v>
      </c>
      <c r="N71" s="1" t="s">
        <v>86</v>
      </c>
      <c r="O71" s="1" t="s">
        <v>87</v>
      </c>
      <c r="P71" s="1" t="s">
        <v>88</v>
      </c>
      <c r="Q71" s="1" t="s">
        <v>89</v>
      </c>
      <c r="R71" s="48" t="s">
        <v>198</v>
      </c>
    </row>
    <row r="72" spans="1:18" x14ac:dyDescent="0.2">
      <c r="A72" s="2" t="s">
        <v>164</v>
      </c>
      <c r="B72" s="2">
        <v>1.31</v>
      </c>
      <c r="C72" s="2">
        <v>60</v>
      </c>
      <c r="D72" s="2">
        <f t="shared" ref="D72:D77" si="23">IF(C72&gt;0, (P72/C72)*100, 0)</f>
        <v>61.666666666666671</v>
      </c>
      <c r="E72" s="2">
        <v>1704.23</v>
      </c>
      <c r="F72" s="2">
        <v>705</v>
      </c>
      <c r="G72" s="2">
        <f>F72*2</f>
        <v>1410</v>
      </c>
      <c r="H72" s="2">
        <f>G72+E72</f>
        <v>3114.23</v>
      </c>
      <c r="I72" s="2">
        <f t="shared" ref="I72:I77" si="24">IF(G72&gt;0, (E72/G72)*100, 0)</f>
        <v>120.86737588652483</v>
      </c>
      <c r="J72" s="2">
        <f>IF(AND(G72&gt;0, M72&gt;0), ((1+I72/100)^(1/M72)-1)*100, 0)</f>
        <v>14.145872494046641</v>
      </c>
      <c r="K72" s="2">
        <v>1.61</v>
      </c>
      <c r="L72" s="2">
        <v>2186</v>
      </c>
      <c r="M72" s="2">
        <f>L72/365</f>
        <v>5.9890410958904106</v>
      </c>
      <c r="N72" s="2" t="s">
        <v>127</v>
      </c>
      <c r="O72" s="2" t="s">
        <v>132</v>
      </c>
      <c r="P72" s="2">
        <v>37</v>
      </c>
      <c r="Q72" s="2">
        <v>23</v>
      </c>
      <c r="R72" s="46">
        <f>B72*SQRT(C72)</f>
        <v>10.147216367063432</v>
      </c>
    </row>
    <row r="73" spans="1:18" x14ac:dyDescent="0.2">
      <c r="A73" s="2" t="s">
        <v>131</v>
      </c>
      <c r="B73" s="2">
        <v>0.84</v>
      </c>
      <c r="C73" s="2">
        <v>173</v>
      </c>
      <c r="D73" s="2">
        <f t="shared" si="23"/>
        <v>60.693641618497111</v>
      </c>
      <c r="E73" s="2">
        <v>4868.1000000000004</v>
      </c>
      <c r="F73" s="2">
        <v>1779</v>
      </c>
      <c r="G73" s="2">
        <f>F73*2</f>
        <v>3558</v>
      </c>
      <c r="H73" s="2">
        <f>G73+E73</f>
        <v>8426.1</v>
      </c>
      <c r="I73" s="2">
        <f t="shared" si="24"/>
        <v>136.82124789207421</v>
      </c>
      <c r="J73" s="2">
        <f>IF(AND(G73&gt;0, M73&gt;0), ((1+I73/100)^(1/M73)-1)*100, 0)</f>
        <v>15.590089451675171</v>
      </c>
      <c r="K73" s="2">
        <v>1.54</v>
      </c>
      <c r="L73" s="2">
        <v>2172</v>
      </c>
      <c r="M73" s="2">
        <f>L73/365</f>
        <v>5.9506849315068493</v>
      </c>
      <c r="N73" s="2" t="s">
        <v>165</v>
      </c>
      <c r="O73" s="2" t="s">
        <v>132</v>
      </c>
      <c r="P73" s="2">
        <v>105</v>
      </c>
      <c r="Q73" s="2">
        <v>68</v>
      </c>
      <c r="R73" s="46">
        <f t="shared" ref="R73:R77" si="25">B73*SQRT(C73)</f>
        <v>11.04847500789136</v>
      </c>
    </row>
    <row r="74" spans="1:18" x14ac:dyDescent="0.2">
      <c r="A74" s="2" t="s">
        <v>166</v>
      </c>
      <c r="B74" s="2">
        <v>0.56999999999999995</v>
      </c>
      <c r="C74" s="2">
        <v>148</v>
      </c>
      <c r="D74" s="2">
        <f t="shared" si="23"/>
        <v>58.108108108108105</v>
      </c>
      <c r="E74" s="2">
        <v>2890.32</v>
      </c>
      <c r="F74" s="2">
        <v>2020</v>
      </c>
      <c r="G74" s="2">
        <f>F74*2</f>
        <v>4040</v>
      </c>
      <c r="H74" s="2">
        <f>G74+E74</f>
        <v>6930.32</v>
      </c>
      <c r="I74" s="2">
        <f t="shared" si="24"/>
        <v>71.542574257425755</v>
      </c>
      <c r="J74" s="2">
        <f>IF(AND(G74&gt;0, M74&gt;0), ((1+I74/100)^(1/M74)-1)*100, 0)</f>
        <v>10.851481583594369</v>
      </c>
      <c r="K74" s="2">
        <v>1.39</v>
      </c>
      <c r="L74" s="2">
        <v>1912</v>
      </c>
      <c r="M74" s="2">
        <f>L74/365</f>
        <v>5.2383561643835614</v>
      </c>
      <c r="N74" s="2" t="s">
        <v>167</v>
      </c>
      <c r="O74" s="2" t="s">
        <v>132</v>
      </c>
      <c r="P74" s="2">
        <v>86</v>
      </c>
      <c r="Q74" s="2">
        <v>62</v>
      </c>
      <c r="R74" s="46">
        <f t="shared" si="25"/>
        <v>6.9343492845399695</v>
      </c>
    </row>
    <row r="75" spans="1:18" x14ac:dyDescent="0.2">
      <c r="A75" s="2" t="s">
        <v>168</v>
      </c>
      <c r="B75" s="2">
        <v>0.76</v>
      </c>
      <c r="C75" s="2">
        <v>400</v>
      </c>
      <c r="D75" s="2">
        <f t="shared" si="23"/>
        <v>60.25</v>
      </c>
      <c r="E75" s="2">
        <v>10608.65</v>
      </c>
      <c r="F75" s="2">
        <v>3596</v>
      </c>
      <c r="G75" s="2">
        <f>F75*2</f>
        <v>7192</v>
      </c>
      <c r="H75" s="2">
        <f>G75+E75</f>
        <v>17800.650000000001</v>
      </c>
      <c r="I75" s="2">
        <f t="shared" si="24"/>
        <v>147.50625695216908</v>
      </c>
      <c r="J75" s="2">
        <f>IF(AND(G75&gt;0, M75&gt;0), ((1+I75/100)^(1/M75)-1)*100, 0)</f>
        <v>18.88729273143246</v>
      </c>
      <c r="K75" s="2">
        <v>1.52</v>
      </c>
      <c r="L75" s="2">
        <v>1912</v>
      </c>
      <c r="M75" s="2">
        <f>L75/365</f>
        <v>5.2383561643835614</v>
      </c>
      <c r="N75" s="2" t="s">
        <v>167</v>
      </c>
      <c r="O75" s="2" t="s">
        <v>132</v>
      </c>
      <c r="P75" s="2">
        <v>241</v>
      </c>
      <c r="Q75" s="2">
        <v>159</v>
      </c>
      <c r="R75" s="46">
        <f t="shared" si="25"/>
        <v>15.2</v>
      </c>
    </row>
    <row r="76" spans="1:18" x14ac:dyDescent="0.2">
      <c r="A76" s="2" t="s">
        <v>136</v>
      </c>
      <c r="B76" s="2">
        <v>0.85</v>
      </c>
      <c r="C76" s="2">
        <v>622</v>
      </c>
      <c r="D76" s="2">
        <f t="shared" si="23"/>
        <v>62.861736334405151</v>
      </c>
      <c r="E76" s="2">
        <v>16357.46</v>
      </c>
      <c r="F76" s="2">
        <v>4579</v>
      </c>
      <c r="G76" s="2">
        <f>F76*2</f>
        <v>9158</v>
      </c>
      <c r="H76" s="2">
        <f>G76+E76</f>
        <v>25515.46</v>
      </c>
      <c r="I76" s="2">
        <f t="shared" si="24"/>
        <v>178.61388949552304</v>
      </c>
      <c r="J76" s="2">
        <f>IF(AND(G76&gt;0, M76&gt;0), ((1+I76/100)^(1/M76)-1)*100, 0)</f>
        <v>18.659589108198293</v>
      </c>
      <c r="K76" s="2">
        <v>1.69</v>
      </c>
      <c r="L76" s="2">
        <v>2186</v>
      </c>
      <c r="M76" s="2">
        <f>L76/365</f>
        <v>5.9890410958904106</v>
      </c>
      <c r="N76" s="2" t="s">
        <v>127</v>
      </c>
      <c r="O76" s="2" t="s">
        <v>132</v>
      </c>
      <c r="P76" s="2">
        <v>391</v>
      </c>
      <c r="Q76" s="2">
        <v>231</v>
      </c>
      <c r="R76" s="46">
        <f t="shared" si="25"/>
        <v>21.198938652677874</v>
      </c>
    </row>
    <row r="77" spans="1:18" x14ac:dyDescent="0.2">
      <c r="A77" s="3" t="s">
        <v>95</v>
      </c>
      <c r="B77" s="3">
        <f>AVERAGE(B72:B76)</f>
        <v>0.86599999999999988</v>
      </c>
      <c r="C77" s="3">
        <f>SUM(C72:C76)</f>
        <v>1403</v>
      </c>
      <c r="D77" s="3">
        <f t="shared" si="23"/>
        <v>61.297220242337843</v>
      </c>
      <c r="E77" s="3">
        <f>SUM(E72:E76)</f>
        <v>36428.759999999995</v>
      </c>
      <c r="F77" s="3">
        <f>SUM(F72:F76)</f>
        <v>12679</v>
      </c>
      <c r="G77" s="3">
        <f>SUM(G72:G76)</f>
        <v>25358</v>
      </c>
      <c r="H77" s="3">
        <f>SUM(H72:H76)</f>
        <v>61786.76</v>
      </c>
      <c r="I77" s="3">
        <f t="shared" si="24"/>
        <v>143.65785945263821</v>
      </c>
      <c r="J77" s="3">
        <f>AVERAGE(J72:J76)</f>
        <v>15.626865073789386</v>
      </c>
      <c r="K77" s="3">
        <f>AVERAGE(K72:K76)</f>
        <v>1.55</v>
      </c>
      <c r="L77" s="3"/>
      <c r="M77" s="3"/>
      <c r="N77" s="3"/>
      <c r="O77" s="3"/>
      <c r="P77" s="3">
        <f>SUM(P72:P76)</f>
        <v>860</v>
      </c>
      <c r="Q77" s="3">
        <f>SUM(Q72:Q76)</f>
        <v>543</v>
      </c>
      <c r="R77" s="54">
        <f t="shared" si="25"/>
        <v>32.437451626168162</v>
      </c>
    </row>
  </sheetData>
  <mergeCells count="10">
    <mergeCell ref="A63:R63"/>
    <mergeCell ref="A70:R70"/>
    <mergeCell ref="A1:Q1"/>
    <mergeCell ref="A3:Q3"/>
    <mergeCell ref="A2:Q2"/>
    <mergeCell ref="A5:R5"/>
    <mergeCell ref="A12:R12"/>
    <mergeCell ref="A19:R19"/>
    <mergeCell ref="A32:R32"/>
    <mergeCell ref="A43:R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32"/>
  <sheetViews>
    <sheetView topLeftCell="A94" workbookViewId="0">
      <selection activeCell="C12" sqref="C12"/>
    </sheetView>
  </sheetViews>
  <sheetFormatPr baseColWidth="10" defaultColWidth="8.83203125" defaultRowHeight="15" x14ac:dyDescent="0.2"/>
  <cols>
    <col min="1" max="1" width="28" customWidth="1"/>
    <col min="2" max="12" width="14" customWidth="1"/>
  </cols>
  <sheetData>
    <row r="1" spans="1:12" ht="21" customHeight="1" x14ac:dyDescent="0.25">
      <c r="A1" s="20" t="s">
        <v>169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x14ac:dyDescent="0.2">
      <c r="A2" s="25" t="s">
        <v>170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16" customHeight="1" x14ac:dyDescent="0.2">
      <c r="A4" s="23" t="s">
        <v>171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5" spans="1:12" x14ac:dyDescent="0.2">
      <c r="A5" s="1" t="s">
        <v>75</v>
      </c>
      <c r="B5" s="1" t="s">
        <v>172</v>
      </c>
      <c r="C5" s="1" t="s">
        <v>173</v>
      </c>
      <c r="D5" s="1" t="s">
        <v>174</v>
      </c>
      <c r="E5" s="1" t="s">
        <v>175</v>
      </c>
      <c r="F5" s="1" t="s">
        <v>176</v>
      </c>
      <c r="G5" s="1" t="s">
        <v>76</v>
      </c>
      <c r="H5" s="1" t="s">
        <v>23</v>
      </c>
      <c r="I5" s="1" t="s">
        <v>22</v>
      </c>
      <c r="J5" s="1" t="s">
        <v>26</v>
      </c>
      <c r="K5" s="1" t="s">
        <v>177</v>
      </c>
      <c r="L5" s="1" t="s">
        <v>25</v>
      </c>
    </row>
    <row r="6" spans="1:12" x14ac:dyDescent="0.2">
      <c r="A6" s="2" t="s">
        <v>90</v>
      </c>
      <c r="B6" s="2">
        <f>100/2</f>
        <v>50</v>
      </c>
      <c r="C6" s="2">
        <v>56.46</v>
      </c>
      <c r="D6" s="2">
        <v>47.78</v>
      </c>
      <c r="E6" s="2">
        <v>54.26</v>
      </c>
      <c r="F6" s="2">
        <v>56.06</v>
      </c>
      <c r="G6" s="2">
        <v>1.4</v>
      </c>
      <c r="H6" s="2">
        <f>IF(K6&gt;0, (L6/K6)*100, 0)</f>
        <v>178.30948275862067</v>
      </c>
      <c r="I6" s="2">
        <f>IF(H6&gt;0, ((1+H6/100)^(1/5.537)-1)*100, 0)</f>
        <v>20.304864029336933</v>
      </c>
      <c r="J6" s="2">
        <v>580</v>
      </c>
      <c r="K6" s="2">
        <f>J6*2</f>
        <v>1160</v>
      </c>
      <c r="L6" s="2">
        <v>2068.39</v>
      </c>
    </row>
    <row r="7" spans="1:12" x14ac:dyDescent="0.2">
      <c r="A7" s="2" t="s">
        <v>93</v>
      </c>
      <c r="B7" s="2">
        <f>100/2</f>
        <v>50</v>
      </c>
      <c r="C7" s="2">
        <v>43.54</v>
      </c>
      <c r="D7" s="2">
        <v>52.22</v>
      </c>
      <c r="E7" s="2">
        <v>45.74</v>
      </c>
      <c r="F7" s="2">
        <v>43.94</v>
      </c>
      <c r="G7" s="2">
        <v>1.53</v>
      </c>
      <c r="H7" s="2">
        <f>IF(K7&gt;0, (L7/K7)*100, 0)</f>
        <v>165.80917553191489</v>
      </c>
      <c r="I7" s="2">
        <f>IF(H7&gt;0, ((1+H7/100)^(1/5.8548)-1)*100, 0)</f>
        <v>18.172537782321264</v>
      </c>
      <c r="J7" s="2">
        <v>752</v>
      </c>
      <c r="K7" s="2">
        <f>J7*2</f>
        <v>1504</v>
      </c>
      <c r="L7" s="2">
        <v>2493.77</v>
      </c>
    </row>
    <row r="8" spans="1:12" x14ac:dyDescent="0.2">
      <c r="A8" s="4" t="s">
        <v>35</v>
      </c>
      <c r="B8" s="4">
        <f>SUM(B6:B7)</f>
        <v>100</v>
      </c>
      <c r="C8" s="4">
        <f>SUM(C6:C7)</f>
        <v>100</v>
      </c>
      <c r="D8" s="4">
        <f>SUM(D6:D7)</f>
        <v>100</v>
      </c>
      <c r="E8" s="4">
        <f>SUM(E6:E7)</f>
        <v>100</v>
      </c>
      <c r="F8" s="4">
        <f>SUM(F6:F7)</f>
        <v>100</v>
      </c>
      <c r="G8" s="4">
        <f>AVERAGE(G6:G7)</f>
        <v>1.4649999999999999</v>
      </c>
      <c r="H8" s="4"/>
      <c r="I8" s="4"/>
      <c r="J8" s="4">
        <f>SUM(J6:J7)</f>
        <v>1332</v>
      </c>
      <c r="K8" s="4">
        <f>SUM(K6:K7)</f>
        <v>2664</v>
      </c>
      <c r="L8" s="4">
        <f>SUM(L6:L7)</f>
        <v>4562.16</v>
      </c>
    </row>
    <row r="10" spans="1:12" x14ac:dyDescent="0.2">
      <c r="A10" s="31" t="s">
        <v>178</v>
      </c>
      <c r="B10" s="21"/>
      <c r="C10" s="21"/>
      <c r="D10" s="21"/>
      <c r="E10" s="21"/>
      <c r="F10" s="21"/>
    </row>
    <row r="11" spans="1:12" x14ac:dyDescent="0.2">
      <c r="A11" s="19" t="s">
        <v>179</v>
      </c>
      <c r="B11" s="19" t="s">
        <v>180</v>
      </c>
      <c r="C11" s="19" t="s">
        <v>181</v>
      </c>
      <c r="D11" s="19" t="s">
        <v>182</v>
      </c>
    </row>
    <row r="12" spans="1:12" x14ac:dyDescent="0.2">
      <c r="A12" s="18" t="s">
        <v>3</v>
      </c>
      <c r="B12" s="18">
        <f t="array" ref="B12">SUMPRODUCT(B6:B7/100, G6:G7*J6:J7)/SQRT((1-0.3)*SUMPRODUCT((B6:B7/100)^2, J6:J7^2) + 0.3*(SUMPRODUCT(B6:B7/100, J6:J7))^2)</f>
        <v>1.8193702407364141</v>
      </c>
      <c r="C12" s="18">
        <f>SUMPRODUCT(B6:B7/100, I6:I7)</f>
        <v>19.238700905829099</v>
      </c>
      <c r="D12" s="18" t="s">
        <v>183</v>
      </c>
    </row>
    <row r="13" spans="1:12" x14ac:dyDescent="0.2">
      <c r="A13" s="18" t="s">
        <v>11</v>
      </c>
      <c r="B13" s="18">
        <f>SUMPRODUCT(C6:C7/100, G6:G7*J6:J7)/SQRT((1-0.3)*SUMPRODUCT((C6:C7/100)^2, J6:J7^2) + 0.3*(SUMPRODUCT(C6:C7/100, J6:J7))^2)</f>
        <v>1.8171030484550312</v>
      </c>
      <c r="C13" s="18">
        <f>SUMPRODUCT(C6:C7/100, I6:I7)</f>
        <v>19.376449181386313</v>
      </c>
      <c r="D13" s="18" t="s">
        <v>183</v>
      </c>
    </row>
    <row r="14" spans="1:12" x14ac:dyDescent="0.2">
      <c r="A14" s="18" t="s">
        <v>6</v>
      </c>
      <c r="B14" s="18">
        <f>SUMPRODUCT(D6:D7/100, G6:G7*J6:J7)/SQRT((1-0.3)*SUMPRODUCT((D6:D7/100)^2, J6:J7^2) + 0.3*(SUMPRODUCT(D6:D7/100, J6:J7))^2)</f>
        <v>1.816517957182191</v>
      </c>
      <c r="C14" s="18">
        <f>SUMPRODUCT(D6:D7/100, I6:I7)</f>
        <v>19.191363263145348</v>
      </c>
      <c r="D14" s="18" t="s">
        <v>183</v>
      </c>
    </row>
    <row r="15" spans="1:12" x14ac:dyDescent="0.2">
      <c r="A15" s="18" t="s">
        <v>8</v>
      </c>
      <c r="B15" s="18">
        <f>SUMPRODUCT(E6:E7/100, G6:G7*J6:J7)/SQRT((1-0.3)*SUMPRODUCT((E6:E7/100)^2, J6:J7^2) + 0.3*(SUMPRODUCT(E6:E7/100, J6:J7))^2)</f>
        <v>1.8197236017673823</v>
      </c>
      <c r="C15" s="18">
        <f>SUMPRODUCT(E6:E7/100, I6:I7)</f>
        <v>19.329538003951967</v>
      </c>
      <c r="D15" s="18" t="s">
        <v>183</v>
      </c>
    </row>
    <row r="16" spans="1:12" x14ac:dyDescent="0.2">
      <c r="A16" s="18" t="s">
        <v>15</v>
      </c>
      <c r="B16" s="18">
        <f>SUMPRODUCT(F6:F7/100, G6:G7*J6:J7)/SQRT((1-0.3)*SUMPRODUCT((F6:F7/100)^2, J6:J7^2) + 0.3*(SUMPRODUCT(F6:F7/100, J6:J7))^2)</f>
        <v>1.817726538201847</v>
      </c>
      <c r="C16" s="18">
        <f>SUMPRODUCT(F6:F7/100, I6:I7)</f>
        <v>19.367919876398247</v>
      </c>
      <c r="D16" s="18" t="s">
        <v>183</v>
      </c>
    </row>
    <row r="19" spans="1:12" ht="16" customHeight="1" x14ac:dyDescent="0.2">
      <c r="A19" s="26" t="s">
        <v>184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</row>
    <row r="20" spans="1:12" x14ac:dyDescent="0.2">
      <c r="A20" s="1" t="s">
        <v>75</v>
      </c>
      <c r="B20" s="1" t="s">
        <v>172</v>
      </c>
      <c r="C20" s="1" t="s">
        <v>173</v>
      </c>
      <c r="D20" s="1" t="s">
        <v>174</v>
      </c>
      <c r="E20" s="1" t="s">
        <v>175</v>
      </c>
      <c r="F20" s="1" t="s">
        <v>176</v>
      </c>
      <c r="G20" s="1" t="s">
        <v>76</v>
      </c>
      <c r="H20" s="1" t="s">
        <v>23</v>
      </c>
      <c r="I20" s="1" t="s">
        <v>22</v>
      </c>
      <c r="J20" s="1" t="s">
        <v>26</v>
      </c>
      <c r="K20" s="1" t="s">
        <v>177</v>
      </c>
      <c r="L20" s="1" t="s">
        <v>25</v>
      </c>
    </row>
    <row r="21" spans="1:12" x14ac:dyDescent="0.2">
      <c r="A21" s="2" t="s">
        <v>97</v>
      </c>
      <c r="B21" s="2">
        <f>100/2</f>
        <v>50</v>
      </c>
      <c r="C21" s="2">
        <v>83.72</v>
      </c>
      <c r="D21" s="2">
        <v>59.72</v>
      </c>
      <c r="E21" s="2">
        <v>69.38</v>
      </c>
      <c r="F21" s="2">
        <v>90.88</v>
      </c>
      <c r="G21" s="2">
        <v>1.26</v>
      </c>
      <c r="H21" s="2">
        <f>IF(K21&gt;0, (L21/K21)*100, 0)</f>
        <v>171.94244604316546</v>
      </c>
      <c r="I21" s="2">
        <f>IF(H21&gt;0, ((1+H21/100)^(1/4.7973)-1)*100, 0)</f>
        <v>23.187597543100267</v>
      </c>
      <c r="J21" s="2">
        <v>556</v>
      </c>
      <c r="K21" s="2">
        <f>J21*2</f>
        <v>1112</v>
      </c>
      <c r="L21" s="2">
        <v>1912</v>
      </c>
    </row>
    <row r="22" spans="1:12" x14ac:dyDescent="0.2">
      <c r="A22" s="2" t="s">
        <v>100</v>
      </c>
      <c r="B22" s="2">
        <f>100/2</f>
        <v>50</v>
      </c>
      <c r="C22" s="2">
        <v>16.28</v>
      </c>
      <c r="D22" s="2">
        <v>40.28</v>
      </c>
      <c r="E22" s="2">
        <v>30.62</v>
      </c>
      <c r="F22" s="2">
        <v>9.1199999999999992</v>
      </c>
      <c r="G22" s="2">
        <v>0.85</v>
      </c>
      <c r="H22" s="2">
        <f>IF(K22&gt;0, (L22/K22)*100, 0)</f>
        <v>131.64265734265734</v>
      </c>
      <c r="I22" s="2">
        <f>IF(H22&gt;0, ((1+H22/100)^(1/4.989)-1)*100, 0)</f>
        <v>18.33809718280779</v>
      </c>
      <c r="J22" s="2">
        <v>2860</v>
      </c>
      <c r="K22" s="2">
        <f>J22*2</f>
        <v>5720</v>
      </c>
      <c r="L22" s="2">
        <v>7529.96</v>
      </c>
    </row>
    <row r="23" spans="1:12" x14ac:dyDescent="0.2">
      <c r="A23" s="4" t="s">
        <v>35</v>
      </c>
      <c r="B23" s="4">
        <f>SUM(B21:B22)</f>
        <v>100</v>
      </c>
      <c r="C23" s="4">
        <f>SUM(C21:C22)</f>
        <v>100</v>
      </c>
      <c r="D23" s="4">
        <f>SUM(D21:D22)</f>
        <v>100</v>
      </c>
      <c r="E23" s="4">
        <f>SUM(E21:E22)</f>
        <v>100</v>
      </c>
      <c r="F23" s="4">
        <f>SUM(F21:F22)</f>
        <v>100</v>
      </c>
      <c r="G23" s="4">
        <f>AVERAGE(G21:G22)</f>
        <v>1.0549999999999999</v>
      </c>
      <c r="H23" s="4"/>
      <c r="I23" s="4"/>
      <c r="J23" s="4">
        <f>SUM(J21:J22)</f>
        <v>3416</v>
      </c>
      <c r="K23" s="4">
        <f>SUM(K21:K22)</f>
        <v>6832</v>
      </c>
      <c r="L23" s="4">
        <f>SUM(L21:L22)</f>
        <v>9441.9599999999991</v>
      </c>
    </row>
    <row r="25" spans="1:12" x14ac:dyDescent="0.2">
      <c r="A25" s="31" t="s">
        <v>178</v>
      </c>
      <c r="B25" s="21"/>
      <c r="C25" s="21"/>
      <c r="D25" s="21"/>
      <c r="E25" s="21"/>
      <c r="F25" s="21"/>
    </row>
    <row r="26" spans="1:12" x14ac:dyDescent="0.2">
      <c r="A26" s="19" t="s">
        <v>179</v>
      </c>
      <c r="B26" s="19" t="s">
        <v>180</v>
      </c>
      <c r="C26" s="19" t="s">
        <v>181</v>
      </c>
      <c r="D26" s="19" t="s">
        <v>182</v>
      </c>
    </row>
    <row r="27" spans="1:12" x14ac:dyDescent="0.2">
      <c r="A27" s="18" t="s">
        <v>3</v>
      </c>
      <c r="B27" s="18">
        <f>SUMPRODUCT(B21:B22/100, G21:G22*J21:J22)/SQRT((1-0.3)*SUMPRODUCT((B21:B22/100)^2, J21:J22^2) + 0.3*(SUMPRODUCT(B21:B22/100, J21:J22))^2)</f>
        <v>1.0190831141736116</v>
      </c>
      <c r="C27" s="18">
        <f>SUMPRODUCT(B21:B22/100, I21:I22)</f>
        <v>20.762847362954027</v>
      </c>
      <c r="D27" s="18" t="s">
        <v>183</v>
      </c>
    </row>
    <row r="28" spans="1:12" x14ac:dyDescent="0.2">
      <c r="A28" s="18" t="s">
        <v>11</v>
      </c>
      <c r="B28" s="18">
        <f>SUMPRODUCT(C21:C22/100, G21:G22*J21:J22)/SQRT((1-0.3)*SUMPRODUCT((C21:C22/100)^2, J21:J22^2) + 0.3*(SUMPRODUCT(C21:C22/100, J21:J22))^2)</f>
        <v>1.3085323620205398</v>
      </c>
      <c r="C28" s="18">
        <f>SUMPRODUCT(C21:C22/100, I21:I22)</f>
        <v>22.39809888444465</v>
      </c>
      <c r="D28" s="18" t="s">
        <v>183</v>
      </c>
    </row>
    <row r="29" spans="1:12" x14ac:dyDescent="0.2">
      <c r="A29" s="18" t="s">
        <v>6</v>
      </c>
      <c r="B29" s="18">
        <f>SUMPRODUCT(D21:D22/100, G21:G22*J21:J22)/SQRT((1-0.3)*SUMPRODUCT((D21:D22/100)^2, J21:J22^2) + 0.3*(SUMPRODUCT(D21:D22/100, J21:J22))^2)</f>
        <v>1.0824908754409048</v>
      </c>
      <c r="C29" s="18">
        <f>SUMPRODUCT(D21:D22/100, I21:I22)</f>
        <v>21.234218797974457</v>
      </c>
      <c r="D29" s="18" t="s">
        <v>183</v>
      </c>
    </row>
    <row r="30" spans="1:12" x14ac:dyDescent="0.2">
      <c r="A30" s="18" t="s">
        <v>8</v>
      </c>
      <c r="B30" s="18">
        <f>SUMPRODUCT(E21:E22/100, G21:G22*J21:J22)/SQRT((1-0.3)*SUMPRODUCT((E21:E22/100)^2, J21:J22^2) + 0.3*(SUMPRODUCT(E21:E22/100, J21:J22))^2)</f>
        <v>1.1634689230500281</v>
      </c>
      <c r="C30" s="18">
        <f>SUMPRODUCT(E21:E22/100, I21:I22)</f>
        <v>21.702680532778711</v>
      </c>
      <c r="D30" s="18" t="s">
        <v>183</v>
      </c>
    </row>
    <row r="31" spans="1:12" x14ac:dyDescent="0.2">
      <c r="A31" s="18" t="s">
        <v>15</v>
      </c>
      <c r="B31" s="18">
        <f>SUMPRODUCT(F21:F22/100, G21:G22*J21:J22)/SQRT((1-0.3)*SUMPRODUCT((F21:F22/100)^2, J21:J22^2) + 0.3*(SUMPRODUCT(F21:F22/100, J21:J22))^2)</f>
        <v>1.3531045130933623</v>
      </c>
      <c r="C31" s="18">
        <f>SUMPRODUCT(F21:F22/100, I21:I22)</f>
        <v>22.745323110241589</v>
      </c>
      <c r="D31" s="18" t="s">
        <v>183</v>
      </c>
    </row>
    <row r="34" spans="1:12" ht="16" customHeight="1" x14ac:dyDescent="0.2">
      <c r="A34" s="29" t="s">
        <v>185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</row>
    <row r="35" spans="1:12" x14ac:dyDescent="0.2">
      <c r="A35" s="1" t="s">
        <v>75</v>
      </c>
      <c r="B35" s="1" t="s">
        <v>172</v>
      </c>
      <c r="C35" s="1" t="s">
        <v>173</v>
      </c>
      <c r="D35" s="1" t="s">
        <v>174</v>
      </c>
      <c r="E35" s="1" t="s">
        <v>175</v>
      </c>
      <c r="F35" s="1" t="s">
        <v>176</v>
      </c>
      <c r="G35" s="1" t="s">
        <v>76</v>
      </c>
      <c r="H35" s="1" t="s">
        <v>23</v>
      </c>
      <c r="I35" s="1" t="s">
        <v>22</v>
      </c>
      <c r="J35" s="1" t="s">
        <v>26</v>
      </c>
      <c r="K35" s="1" t="s">
        <v>177</v>
      </c>
      <c r="L35" s="1" t="s">
        <v>25</v>
      </c>
    </row>
    <row r="36" spans="1:12" x14ac:dyDescent="0.2">
      <c r="A36" s="2" t="s">
        <v>103</v>
      </c>
      <c r="B36" s="2">
        <f t="shared" ref="B36:B43" si="0">100/8</f>
        <v>12.5</v>
      </c>
      <c r="C36" s="2">
        <v>3.39</v>
      </c>
      <c r="D36" s="2">
        <v>13.33</v>
      </c>
      <c r="E36" s="2">
        <v>3.8</v>
      </c>
      <c r="F36" s="2">
        <v>1.81</v>
      </c>
      <c r="G36" s="2">
        <v>5.29</v>
      </c>
      <c r="H36" s="2">
        <f t="shared" ref="H36:H43" si="1">IF(K36&gt;0, (L36/K36)*100, 0)</f>
        <v>87.69023136246787</v>
      </c>
      <c r="I36" s="2">
        <f>IF(H36&gt;0, ((1+H36/100)^(1/5.1534)-1)*100, 0)</f>
        <v>12.995315639978799</v>
      </c>
      <c r="J36" s="2">
        <v>778</v>
      </c>
      <c r="K36" s="2">
        <f t="shared" ref="K36:K43" si="2">J36*2</f>
        <v>1556</v>
      </c>
      <c r="L36" s="2">
        <v>1364.46</v>
      </c>
    </row>
    <row r="37" spans="1:12" x14ac:dyDescent="0.2">
      <c r="A37" s="2" t="s">
        <v>106</v>
      </c>
      <c r="B37" s="2">
        <f t="shared" si="0"/>
        <v>12.5</v>
      </c>
      <c r="C37" s="2">
        <v>6.45</v>
      </c>
      <c r="D37" s="2">
        <v>7.05</v>
      </c>
      <c r="E37" s="2">
        <v>3.84</v>
      </c>
      <c r="F37" s="2">
        <v>1.56</v>
      </c>
      <c r="G37" s="2">
        <v>2.8</v>
      </c>
      <c r="H37" s="2">
        <f t="shared" si="1"/>
        <v>75.286694437637834</v>
      </c>
      <c r="I37" s="2">
        <f>IF(H37&gt;0, ((1+H37/100)^(1/5.0904)-1)*100, 0)</f>
        <v>11.656509357471222</v>
      </c>
      <c r="J37" s="2">
        <v>408.1</v>
      </c>
      <c r="K37" s="2">
        <f t="shared" si="2"/>
        <v>816.2</v>
      </c>
      <c r="L37" s="2">
        <v>614.49</v>
      </c>
    </row>
    <row r="38" spans="1:12" x14ac:dyDescent="0.2">
      <c r="A38" s="2" t="s">
        <v>109</v>
      </c>
      <c r="B38" s="2">
        <f t="shared" si="0"/>
        <v>12.5</v>
      </c>
      <c r="C38" s="2">
        <v>17.02</v>
      </c>
      <c r="D38" s="2">
        <v>8.9700000000000006</v>
      </c>
      <c r="E38" s="2">
        <v>12.86</v>
      </c>
      <c r="F38" s="2">
        <v>10.07</v>
      </c>
      <c r="G38" s="2">
        <v>3.56</v>
      </c>
      <c r="H38" s="2">
        <f t="shared" si="1"/>
        <v>144.56395348837208</v>
      </c>
      <c r="I38" s="2">
        <f>IF(H38&gt;0, ((1+H38/100)^(1/5.2082)-1)*100, 0)</f>
        <v>18.733496922862614</v>
      </c>
      <c r="J38" s="2">
        <v>154.80000000000001</v>
      </c>
      <c r="K38" s="2">
        <f t="shared" si="2"/>
        <v>309.60000000000002</v>
      </c>
      <c r="L38" s="2">
        <v>447.57</v>
      </c>
    </row>
    <row r="39" spans="1:12" x14ac:dyDescent="0.2">
      <c r="A39" s="2" t="s">
        <v>111</v>
      </c>
      <c r="B39" s="2">
        <f t="shared" si="0"/>
        <v>12.5</v>
      </c>
      <c r="C39" s="2">
        <v>28.26</v>
      </c>
      <c r="D39" s="2">
        <v>11.39</v>
      </c>
      <c r="E39" s="2">
        <v>27.11</v>
      </c>
      <c r="F39" s="2">
        <v>33</v>
      </c>
      <c r="G39" s="2">
        <v>4.5199999999999996</v>
      </c>
      <c r="H39" s="2">
        <f t="shared" si="1"/>
        <v>224.64055793991417</v>
      </c>
      <c r="I39" s="2">
        <f>IF(H39&gt;0, ((1+H39/100)^(1/5.0877)-1)*100, 0)</f>
        <v>26.042636406848118</v>
      </c>
      <c r="J39" s="2">
        <v>93.2</v>
      </c>
      <c r="K39" s="2">
        <f t="shared" si="2"/>
        <v>186.4</v>
      </c>
      <c r="L39" s="2">
        <v>418.73</v>
      </c>
    </row>
    <row r="40" spans="1:12" x14ac:dyDescent="0.2">
      <c r="A40" s="2" t="s">
        <v>114</v>
      </c>
      <c r="B40" s="2">
        <f t="shared" si="0"/>
        <v>12.5</v>
      </c>
      <c r="C40" s="2">
        <v>9.1</v>
      </c>
      <c r="D40" s="2">
        <v>8.24</v>
      </c>
      <c r="E40" s="2">
        <v>6.31</v>
      </c>
      <c r="F40" s="2">
        <v>2.2400000000000002</v>
      </c>
      <c r="G40" s="2">
        <v>3.27</v>
      </c>
      <c r="H40" s="2">
        <f t="shared" si="1"/>
        <v>65.488604972375683</v>
      </c>
      <c r="I40" s="2">
        <f>IF(H40&gt;0, ((1+H40/100)^(1/5.3534)-1)*100, 0)</f>
        <v>9.8664931128145774</v>
      </c>
      <c r="J40" s="2">
        <v>289.60000000000002</v>
      </c>
      <c r="K40" s="2">
        <f t="shared" si="2"/>
        <v>579.20000000000005</v>
      </c>
      <c r="L40" s="2">
        <v>379.31</v>
      </c>
    </row>
    <row r="41" spans="1:12" x14ac:dyDescent="0.2">
      <c r="A41" s="2" t="s">
        <v>117</v>
      </c>
      <c r="B41" s="2">
        <f t="shared" si="0"/>
        <v>12.5</v>
      </c>
      <c r="C41" s="2">
        <v>22.67</v>
      </c>
      <c r="D41" s="2">
        <v>13.25</v>
      </c>
      <c r="E41" s="2">
        <v>25.31</v>
      </c>
      <c r="F41" s="2">
        <v>32.61</v>
      </c>
      <c r="G41" s="2">
        <v>5.26</v>
      </c>
      <c r="H41" s="2">
        <f t="shared" si="1"/>
        <v>237.8313253012048</v>
      </c>
      <c r="I41" s="2">
        <f>IF(H41&gt;0, ((1+H41/100)^(1/5.0466)-1)*100, 0)</f>
        <v>27.281002347891594</v>
      </c>
      <c r="J41" s="2">
        <v>116.2</v>
      </c>
      <c r="K41" s="2">
        <f t="shared" si="2"/>
        <v>232.4</v>
      </c>
      <c r="L41" s="2">
        <v>552.72</v>
      </c>
    </row>
    <row r="42" spans="1:12" x14ac:dyDescent="0.2">
      <c r="A42" s="2" t="s">
        <v>119</v>
      </c>
      <c r="B42" s="2">
        <f t="shared" si="0"/>
        <v>12.5</v>
      </c>
      <c r="C42" s="2">
        <v>7.39</v>
      </c>
      <c r="D42" s="2">
        <v>18.170000000000002</v>
      </c>
      <c r="E42" s="2">
        <v>11.3</v>
      </c>
      <c r="F42" s="2">
        <v>8.59</v>
      </c>
      <c r="G42" s="2">
        <v>7.21</v>
      </c>
      <c r="H42" s="2">
        <f t="shared" si="1"/>
        <v>140.27201346045987</v>
      </c>
      <c r="I42" s="2">
        <f>IF(H42&gt;0, ((1+H42/100)^(1/5.4192)-1)*100, 0)</f>
        <v>17.557626669663318</v>
      </c>
      <c r="J42" s="2">
        <v>356.6</v>
      </c>
      <c r="K42" s="2">
        <f t="shared" si="2"/>
        <v>713.2</v>
      </c>
      <c r="L42" s="2">
        <v>1000.42</v>
      </c>
    </row>
    <row r="43" spans="1:12" x14ac:dyDescent="0.2">
      <c r="A43" s="2" t="s">
        <v>122</v>
      </c>
      <c r="B43" s="2">
        <f t="shared" si="0"/>
        <v>12.5</v>
      </c>
      <c r="C43" s="2">
        <v>5.73</v>
      </c>
      <c r="D43" s="2">
        <v>19.600000000000001</v>
      </c>
      <c r="E43" s="2">
        <v>9.4600000000000009</v>
      </c>
      <c r="F43" s="2">
        <v>10.11</v>
      </c>
      <c r="G43" s="2">
        <v>7.78</v>
      </c>
      <c r="H43" s="2">
        <f t="shared" si="1"/>
        <v>197.21279373368145</v>
      </c>
      <c r="I43" s="2">
        <f>IF(H43&gt;0, ((1+H43/100)^(1/5.3945)-1)*100, 0)</f>
        <v>22.375480761695599</v>
      </c>
      <c r="J43" s="2">
        <v>459.6</v>
      </c>
      <c r="K43" s="2">
        <f t="shared" si="2"/>
        <v>919.2</v>
      </c>
      <c r="L43" s="2">
        <v>1812.78</v>
      </c>
    </row>
    <row r="44" spans="1:12" x14ac:dyDescent="0.2">
      <c r="A44" s="4" t="s">
        <v>35</v>
      </c>
      <c r="B44" s="4">
        <f>SUM(B36:B43)</f>
        <v>100</v>
      </c>
      <c r="C44" s="4">
        <f>SUM(C36:C43)</f>
        <v>100.01</v>
      </c>
      <c r="D44" s="4">
        <f>SUM(D36:D43)</f>
        <v>100</v>
      </c>
      <c r="E44" s="4">
        <f>SUM(E36:E43)</f>
        <v>99.990000000000009</v>
      </c>
      <c r="F44" s="4">
        <f>SUM(F36:F43)</f>
        <v>99.99</v>
      </c>
      <c r="G44" s="4">
        <f>AVERAGE(G36:G43)</f>
        <v>4.9612500000000006</v>
      </c>
      <c r="H44" s="4"/>
      <c r="I44" s="4"/>
      <c r="J44" s="4">
        <f>SUM(J36:J43)</f>
        <v>2656.1</v>
      </c>
      <c r="K44" s="4">
        <f>SUM(K36:K43)</f>
        <v>5312.2</v>
      </c>
      <c r="L44" s="4">
        <f>SUM(L36:L43)</f>
        <v>6590.48</v>
      </c>
    </row>
    <row r="46" spans="1:12" x14ac:dyDescent="0.2">
      <c r="A46" s="31" t="s">
        <v>178</v>
      </c>
      <c r="B46" s="21"/>
      <c r="C46" s="21"/>
      <c r="D46" s="21"/>
      <c r="E46" s="21"/>
      <c r="F46" s="21"/>
    </row>
    <row r="47" spans="1:12" x14ac:dyDescent="0.2">
      <c r="A47" s="19" t="s">
        <v>179</v>
      </c>
      <c r="B47" s="19" t="s">
        <v>180</v>
      </c>
      <c r="C47" s="19" t="s">
        <v>181</v>
      </c>
      <c r="D47" s="19" t="s">
        <v>182</v>
      </c>
    </row>
    <row r="48" spans="1:12" x14ac:dyDescent="0.2">
      <c r="A48" s="18" t="s">
        <v>3</v>
      </c>
      <c r="B48" s="18">
        <f>SUMPRODUCT(B36:B43/100, G36:G43*J36:J43)/SQRT((1-0.3)*SUMPRODUCT((B36:B43/100)^2, J36:J43^2) + 0.3*(SUMPRODUCT(B36:B43/100, J36:J43))^2)</f>
        <v>8.0664273247076395</v>
      </c>
      <c r="C48" s="18">
        <f>SUMPRODUCT(B36:B43/100, I36:I43)</f>
        <v>18.31357015240323</v>
      </c>
      <c r="D48" s="18" t="s">
        <v>183</v>
      </c>
    </row>
    <row r="49" spans="1:12" x14ac:dyDescent="0.2">
      <c r="A49" s="18" t="s">
        <v>11</v>
      </c>
      <c r="B49" s="18">
        <f>SUMPRODUCT(C36:C43/100, G36:G43*J36:J43)/SQRT((1-0.3)*SUMPRODUCT((C36:C43/100)^2, J36:J43^2) + 0.3*(SUMPRODUCT(C36:C43/100, J36:J43))^2)</f>
        <v>7.9701927644745192</v>
      </c>
      <c r="C49" s="18">
        <f>SUMPRODUCT(C36:C43/100, I36:I43)</f>
        <v>21.402554042665098</v>
      </c>
      <c r="D49" s="18" t="s">
        <v>183</v>
      </c>
    </row>
    <row r="50" spans="1:12" x14ac:dyDescent="0.2">
      <c r="A50" s="18" t="s">
        <v>6</v>
      </c>
      <c r="B50" s="18">
        <f>SUMPRODUCT(D36:D43/100, G36:G43*J36:J43)/SQRT((1-0.3)*SUMPRODUCT((D36:D43/100)^2, J36:J43^2) + 0.3*(SUMPRODUCT(D36:D43/100, J36:J43))^2)</f>
        <v>8.7974764430177714</v>
      </c>
      <c r="C50" s="18">
        <f>SUMPRODUCT(D36:D43/100, I36:I43)</f>
        <v>19.204257283993392</v>
      </c>
      <c r="D50" s="18" t="s">
        <v>183</v>
      </c>
    </row>
    <row r="51" spans="1:12" x14ac:dyDescent="0.2">
      <c r="A51" s="18" t="s">
        <v>8</v>
      </c>
      <c r="B51" s="18">
        <f>SUMPRODUCT(E36:E43/100, G36:G43*J36:J43)/SQRT((1-0.3)*SUMPRODUCT((E36:E43/100)^2, J36:J43^2) + 0.3*(SUMPRODUCT(E36:E43/100, J36:J43))^2)</f>
        <v>8.7813611382999532</v>
      </c>
      <c r="C51" s="18">
        <f>SUMPRODUCT(E36:E43/100, I36:I43)</f>
        <v>22.038848091221066</v>
      </c>
      <c r="D51" s="18" t="s">
        <v>183</v>
      </c>
    </row>
    <row r="52" spans="1:12" x14ac:dyDescent="0.2">
      <c r="A52" s="18" t="s">
        <v>15</v>
      </c>
      <c r="B52" s="18">
        <f>SUMPRODUCT(F36:F43/100, G36:G43*J36:J43)/SQRT((1-0.3)*SUMPRODUCT((F36:F43/100)^2, J36:J43^2) + 0.3*(SUMPRODUCT(F36:F43/100, J36:J43))^2)</f>
        <v>8.9466043896702931</v>
      </c>
      <c r="C52" s="18">
        <f>SUMPRODUCT(F36:F43/100, I36:I43)</f>
        <v>23.785295460758309</v>
      </c>
      <c r="D52" s="18" t="s">
        <v>183</v>
      </c>
    </row>
    <row r="55" spans="1:12" ht="16" customHeight="1" x14ac:dyDescent="0.2">
      <c r="A55" s="22" t="s">
        <v>186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</row>
    <row r="56" spans="1:12" x14ac:dyDescent="0.2">
      <c r="A56" s="1" t="s">
        <v>75</v>
      </c>
      <c r="B56" s="1" t="s">
        <v>172</v>
      </c>
      <c r="C56" s="1" t="s">
        <v>173</v>
      </c>
      <c r="D56" s="1" t="s">
        <v>174</v>
      </c>
      <c r="E56" s="1" t="s">
        <v>175</v>
      </c>
      <c r="F56" s="1" t="s">
        <v>176</v>
      </c>
      <c r="G56" s="1" t="s">
        <v>76</v>
      </c>
      <c r="H56" s="1" t="s">
        <v>23</v>
      </c>
      <c r="I56" s="1" t="s">
        <v>22</v>
      </c>
      <c r="J56" s="1" t="s">
        <v>26</v>
      </c>
      <c r="K56" s="1" t="s">
        <v>177</v>
      </c>
      <c r="L56" s="1" t="s">
        <v>25</v>
      </c>
    </row>
    <row r="57" spans="1:12" x14ac:dyDescent="0.2">
      <c r="A57" s="2" t="s">
        <v>126</v>
      </c>
      <c r="B57" s="2">
        <f t="shared" ref="B57:B62" si="3">100/6</f>
        <v>16.666666666666668</v>
      </c>
      <c r="C57" s="2">
        <v>12.35</v>
      </c>
      <c r="D57" s="2">
        <v>24.48</v>
      </c>
      <c r="E57" s="2">
        <v>18.52</v>
      </c>
      <c r="F57" s="2">
        <v>16.97</v>
      </c>
      <c r="G57" s="2">
        <v>1.44</v>
      </c>
      <c r="H57" s="2">
        <f t="shared" ref="H57:H62" si="4">IF(K57&gt;0, (L57/K57)*100, 0)</f>
        <v>106.2240663900415</v>
      </c>
      <c r="I57" s="2">
        <f>IF(H57&gt;0, ((1+H57/100)^(1/5.926)-1)*100, 0)</f>
        <v>12.991064869355062</v>
      </c>
      <c r="J57" s="2">
        <v>19.28</v>
      </c>
      <c r="K57" s="2">
        <f t="shared" ref="K57:K62" si="5">J57*2</f>
        <v>38.56</v>
      </c>
      <c r="L57" s="2">
        <v>40.96</v>
      </c>
    </row>
    <row r="58" spans="1:12" x14ac:dyDescent="0.2">
      <c r="A58" s="2" t="s">
        <v>129</v>
      </c>
      <c r="B58" s="2">
        <f t="shared" si="3"/>
        <v>16.666666666666668</v>
      </c>
      <c r="C58" s="2">
        <v>10.25</v>
      </c>
      <c r="D58" s="2">
        <v>14.29</v>
      </c>
      <c r="E58" s="2">
        <v>8.98</v>
      </c>
      <c r="F58" s="2">
        <v>5.76</v>
      </c>
      <c r="G58" s="2">
        <v>0.84</v>
      </c>
      <c r="H58" s="2">
        <f t="shared" si="4"/>
        <v>74.451140766250546</v>
      </c>
      <c r="I58" s="2">
        <f>IF(H58&gt;0, ((1+H58/100)^(1/5.9123)-1)*100, 0)</f>
        <v>9.8693224647642186</v>
      </c>
      <c r="J58" s="2">
        <v>23.23</v>
      </c>
      <c r="K58" s="2">
        <f t="shared" si="5"/>
        <v>46.46</v>
      </c>
      <c r="L58" s="2">
        <v>34.590000000000003</v>
      </c>
    </row>
    <row r="59" spans="1:12" x14ac:dyDescent="0.2">
      <c r="A59" s="2" t="s">
        <v>131</v>
      </c>
      <c r="B59" s="2">
        <f t="shared" si="3"/>
        <v>16.666666666666668</v>
      </c>
      <c r="C59" s="2">
        <v>13.93</v>
      </c>
      <c r="D59" s="2">
        <v>15.3</v>
      </c>
      <c r="E59" s="2">
        <v>13.06</v>
      </c>
      <c r="F59" s="2">
        <v>7.04</v>
      </c>
      <c r="G59" s="2">
        <v>0.9</v>
      </c>
      <c r="H59" s="2">
        <f t="shared" si="4"/>
        <v>62.492685781158578</v>
      </c>
      <c r="I59" s="2">
        <f>IF(H59&gt;0, ((1+H59/100)^(1/5.989)-1)*100, 0)</f>
        <v>8.4434958396880653</v>
      </c>
      <c r="J59" s="2">
        <v>17.09</v>
      </c>
      <c r="K59" s="2">
        <f t="shared" si="5"/>
        <v>34.18</v>
      </c>
      <c r="L59" s="2">
        <v>21.36</v>
      </c>
    </row>
    <row r="60" spans="1:12" x14ac:dyDescent="0.2">
      <c r="A60" s="2" t="s">
        <v>133</v>
      </c>
      <c r="B60" s="2">
        <f t="shared" si="3"/>
        <v>16.666666666666668</v>
      </c>
      <c r="C60" s="2">
        <v>11.76</v>
      </c>
      <c r="D60" s="2">
        <v>16.22</v>
      </c>
      <c r="E60" s="2">
        <v>11.69</v>
      </c>
      <c r="F60" s="2">
        <v>4.7</v>
      </c>
      <c r="G60" s="2">
        <v>0.95</v>
      </c>
      <c r="H60" s="2">
        <f t="shared" si="4"/>
        <v>46.641975308641975</v>
      </c>
      <c r="I60" s="2">
        <f>IF(H60&gt;0, ((1+H60/100)^(1/5.7479)-1)*100, 0)</f>
        <v>6.8870402053108792</v>
      </c>
      <c r="J60" s="2">
        <v>20.25</v>
      </c>
      <c r="K60" s="2">
        <f t="shared" si="5"/>
        <v>40.5</v>
      </c>
      <c r="L60" s="2">
        <v>18.89</v>
      </c>
    </row>
    <row r="61" spans="1:12" x14ac:dyDescent="0.2">
      <c r="A61" s="2" t="s">
        <v>135</v>
      </c>
      <c r="B61" s="2">
        <f t="shared" si="3"/>
        <v>16.666666666666668</v>
      </c>
      <c r="C61" s="2">
        <v>14.15</v>
      </c>
      <c r="D61" s="2">
        <v>14.37</v>
      </c>
      <c r="E61" s="2">
        <v>12.46</v>
      </c>
      <c r="F61" s="2">
        <v>7.78</v>
      </c>
      <c r="G61" s="2">
        <v>0.85</v>
      </c>
      <c r="H61" s="2">
        <f t="shared" si="4"/>
        <v>72.400475341651827</v>
      </c>
      <c r="I61" s="2">
        <f>IF(H61&gt;0, ((1+H61/100)^(1/5.926)-1)*100, 0)</f>
        <v>9.6264538599134539</v>
      </c>
      <c r="J61" s="2">
        <v>16.829999999999998</v>
      </c>
      <c r="K61" s="2">
        <f t="shared" si="5"/>
        <v>33.659999999999997</v>
      </c>
      <c r="L61" s="2">
        <v>24.37</v>
      </c>
    </row>
    <row r="62" spans="1:12" x14ac:dyDescent="0.2">
      <c r="A62" s="2" t="s">
        <v>136</v>
      </c>
      <c r="B62" s="2">
        <f t="shared" si="3"/>
        <v>16.666666666666668</v>
      </c>
      <c r="C62" s="2">
        <v>37.56</v>
      </c>
      <c r="D62" s="2">
        <v>15.33</v>
      </c>
      <c r="E62" s="2">
        <v>35.29</v>
      </c>
      <c r="F62" s="2">
        <v>57.75</v>
      </c>
      <c r="G62" s="2">
        <v>0.9</v>
      </c>
      <c r="H62" s="2">
        <f t="shared" si="4"/>
        <v>189.74763406940062</v>
      </c>
      <c r="I62" s="2">
        <f>IF(H62&gt;0, ((1+H62/100)^(1/5.9315)-1)*100, 0)</f>
        <v>19.644458963091726</v>
      </c>
      <c r="J62" s="2">
        <v>6.34</v>
      </c>
      <c r="K62" s="2">
        <f t="shared" si="5"/>
        <v>12.68</v>
      </c>
      <c r="L62" s="2">
        <v>24.06</v>
      </c>
    </row>
    <row r="63" spans="1:12" x14ac:dyDescent="0.2">
      <c r="A63" s="4" t="s">
        <v>35</v>
      </c>
      <c r="B63" s="4">
        <f>SUM(B57:B62)</f>
        <v>100.00000000000001</v>
      </c>
      <c r="C63" s="4">
        <f>SUM(C57:C62)</f>
        <v>100</v>
      </c>
      <c r="D63" s="4">
        <f>SUM(D57:D62)</f>
        <v>99.99</v>
      </c>
      <c r="E63" s="4">
        <f>SUM(E57:E62)</f>
        <v>100</v>
      </c>
      <c r="F63" s="4">
        <f>SUM(F57:F62)</f>
        <v>100</v>
      </c>
      <c r="G63" s="4">
        <f>AVERAGE(G57:G62)</f>
        <v>0.98</v>
      </c>
      <c r="H63" s="4"/>
      <c r="I63" s="4"/>
      <c r="J63" s="4">
        <f>SUM(J57:J62)</f>
        <v>103.02000000000001</v>
      </c>
      <c r="K63" s="4">
        <f>SUM(K57:K62)</f>
        <v>206.04000000000002</v>
      </c>
      <c r="L63" s="4">
        <f>SUM(L57:L62)</f>
        <v>164.23000000000002</v>
      </c>
    </row>
    <row r="65" spans="1:12" x14ac:dyDescent="0.2">
      <c r="A65" s="31" t="s">
        <v>178</v>
      </c>
      <c r="B65" s="21"/>
      <c r="C65" s="21"/>
      <c r="D65" s="21"/>
      <c r="E65" s="21"/>
      <c r="F65" s="21"/>
    </row>
    <row r="66" spans="1:12" x14ac:dyDescent="0.2">
      <c r="A66" s="19" t="s">
        <v>179</v>
      </c>
      <c r="B66" s="19" t="s">
        <v>180</v>
      </c>
      <c r="C66" s="19" t="s">
        <v>181</v>
      </c>
      <c r="D66" s="19" t="s">
        <v>182</v>
      </c>
    </row>
    <row r="67" spans="1:12" x14ac:dyDescent="0.2">
      <c r="A67" s="18" t="s">
        <v>3</v>
      </c>
      <c r="B67" s="18">
        <f>SUMPRODUCT(B57:B62/100, G57:G62*J57:J62)/SQRT((1-0.3)*SUMPRODUCT((B57:B62/100)^2, J57:J62^2) + 0.3*(SUMPRODUCT(B57:B62/100, J57:J62))^2)</f>
        <v>1.5124597854568231</v>
      </c>
      <c r="C67" s="18">
        <f>SUMPRODUCT(B57:B62/100, I57:I62)</f>
        <v>11.243639367020569</v>
      </c>
      <c r="D67" s="18" t="s">
        <v>183</v>
      </c>
    </row>
    <row r="68" spans="1:12" x14ac:dyDescent="0.2">
      <c r="A68" s="18" t="s">
        <v>11</v>
      </c>
      <c r="B68" s="18">
        <f>SUMPRODUCT(C57:C62/100, G57:G62*J57:J62)/SQRT((1-0.3)*SUMPRODUCT((C57:C62/100)^2, J57:J62^2) + 0.3*(SUMPRODUCT(C57:C62/100, J57:J62))^2)</f>
        <v>1.5182052584218135</v>
      </c>
      <c r="C68" s="18">
        <f>SUMPRODUCT(C57:C62/100, I57:I62)</f>
        <v>13.342698970331796</v>
      </c>
      <c r="D68" s="18" t="s">
        <v>183</v>
      </c>
    </row>
    <row r="69" spans="1:12" x14ac:dyDescent="0.2">
      <c r="A69" s="18" t="s">
        <v>6</v>
      </c>
      <c r="B69" s="18">
        <f>SUMPRODUCT(D57:D62/100, G57:G62*J57:J62)/SQRT((1-0.3)*SUMPRODUCT((D57:D62/100)^2, J57:J62^2) + 0.3*(SUMPRODUCT(D57:D62/100, J57:J62))^2)</f>
        <v>1.5747753214508959</v>
      </c>
      <c r="C69" s="18">
        <f>SUMPRODUCT(D57:D62/100, I57:I62)</f>
        <v>11.394288623718149</v>
      </c>
      <c r="D69" s="18" t="s">
        <v>183</v>
      </c>
    </row>
    <row r="70" spans="1:12" x14ac:dyDescent="0.2">
      <c r="A70" s="18" t="s">
        <v>8</v>
      </c>
      <c r="B70" s="18">
        <f>SUMPRODUCT(E57:E62/100, G57:G62*J57:J62)/SQRT((1-0.3)*SUMPRODUCT((E57:E62/100)^2, J57:J62^2) + 0.3*(SUMPRODUCT(E57:E62/100, J57:J62))^2)</f>
        <v>1.5771584028225116</v>
      </c>
      <c r="C70" s="18">
        <f>SUMPRODUCT(E57:E62/100, I57:I62)</f>
        <v>13.332011646824775</v>
      </c>
      <c r="D70" s="18" t="s">
        <v>183</v>
      </c>
    </row>
    <row r="71" spans="1:12" x14ac:dyDescent="0.2">
      <c r="A71" s="18" t="s">
        <v>15</v>
      </c>
      <c r="B71" s="18">
        <f>SUMPRODUCT(F57:F62/100, G57:G62*J57:J62)/SQRT((1-0.3)*SUMPRODUCT((F57:F62/100)^2, J57:J62^2) + 0.3*(SUMPRODUCT(F57:F62/100, J57:J62))^2)</f>
        <v>1.5496067286629067</v>
      </c>
      <c r="C71" s="18">
        <f>SUMPRODUCT(F57:F62/100, I57:I62)</f>
        <v>15.784782840550363</v>
      </c>
      <c r="D71" s="18" t="s">
        <v>183</v>
      </c>
    </row>
    <row r="74" spans="1:12" ht="16" customHeight="1" x14ac:dyDescent="0.2">
      <c r="A74" s="27" t="s">
        <v>187</v>
      </c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</row>
    <row r="75" spans="1:12" x14ac:dyDescent="0.2">
      <c r="A75" s="1" t="s">
        <v>75</v>
      </c>
      <c r="B75" s="1" t="s">
        <v>172</v>
      </c>
      <c r="C75" s="1" t="s">
        <v>173</v>
      </c>
      <c r="D75" s="1" t="s">
        <v>174</v>
      </c>
      <c r="E75" s="1" t="s">
        <v>175</v>
      </c>
      <c r="F75" s="1" t="s">
        <v>176</v>
      </c>
      <c r="G75" s="1" t="s">
        <v>76</v>
      </c>
      <c r="H75" s="1" t="s">
        <v>23</v>
      </c>
      <c r="I75" s="1" t="s">
        <v>22</v>
      </c>
      <c r="J75" s="1" t="s">
        <v>26</v>
      </c>
      <c r="K75" s="1" t="s">
        <v>177</v>
      </c>
      <c r="L75" s="1" t="s">
        <v>25</v>
      </c>
    </row>
    <row r="76" spans="1:12" x14ac:dyDescent="0.2">
      <c r="A76" s="2" t="s">
        <v>139</v>
      </c>
      <c r="B76" s="2">
        <f t="shared" ref="B76:B90" si="6">100/15</f>
        <v>6.666666666666667</v>
      </c>
      <c r="C76" s="2">
        <v>7.43</v>
      </c>
      <c r="D76" s="2">
        <v>9.49</v>
      </c>
      <c r="E76" s="2">
        <v>8.15</v>
      </c>
      <c r="F76" s="2">
        <v>7.34</v>
      </c>
      <c r="G76" s="2">
        <v>2.61</v>
      </c>
      <c r="H76" s="2">
        <f t="shared" ref="H76:H90" si="7">IF(K76&gt;0, (L76/K76)*100, 0)</f>
        <v>73.435616946324274</v>
      </c>
      <c r="I76" s="2">
        <f>IF(H76&gt;0, ((1+H76/100)^(1/5.6986)-1)*100, 0)</f>
        <v>10.144899989171009</v>
      </c>
      <c r="J76" s="2">
        <v>323.61</v>
      </c>
      <c r="K76" s="2">
        <f t="shared" ref="K76:K90" si="8">J76*2</f>
        <v>647.22</v>
      </c>
      <c r="L76" s="2">
        <v>475.29</v>
      </c>
    </row>
    <row r="77" spans="1:12" x14ac:dyDescent="0.2">
      <c r="A77" s="2" t="s">
        <v>103</v>
      </c>
      <c r="B77" s="2">
        <f t="shared" si="6"/>
        <v>6.666666666666667</v>
      </c>
      <c r="C77" s="2">
        <v>1.91</v>
      </c>
      <c r="D77" s="2">
        <v>3.67</v>
      </c>
      <c r="E77" s="2">
        <v>1.01</v>
      </c>
      <c r="F77" s="2">
        <v>0.2</v>
      </c>
      <c r="G77" s="2">
        <v>1.01</v>
      </c>
      <c r="H77" s="2">
        <f t="shared" si="7"/>
        <v>19.826459569277564</v>
      </c>
      <c r="I77" s="2">
        <f>IF(H77&gt;0, ((1+H77/100)^(1/5.6959)-1)*100, 0)</f>
        <v>3.2264757133472433</v>
      </c>
      <c r="J77" s="2">
        <v>1262.53</v>
      </c>
      <c r="K77" s="2">
        <f t="shared" si="8"/>
        <v>2525.06</v>
      </c>
      <c r="L77" s="2">
        <v>500.63</v>
      </c>
    </row>
    <row r="78" spans="1:12" x14ac:dyDescent="0.2">
      <c r="A78" s="2" t="s">
        <v>106</v>
      </c>
      <c r="B78" s="2">
        <f t="shared" si="6"/>
        <v>6.666666666666667</v>
      </c>
      <c r="C78" s="2">
        <v>3.27</v>
      </c>
      <c r="D78" s="2">
        <v>5.09</v>
      </c>
      <c r="E78" s="2">
        <v>1.92</v>
      </c>
      <c r="F78" s="2">
        <v>0.74</v>
      </c>
      <c r="G78" s="2">
        <v>1.4</v>
      </c>
      <c r="H78" s="2">
        <f t="shared" si="7"/>
        <v>31.400059819996194</v>
      </c>
      <c r="I78" s="2">
        <f>IF(H78&gt;0, ((1+H78/100)^(1/5.5836)-1)*100, 0)</f>
        <v>5.01225437557693</v>
      </c>
      <c r="J78" s="2">
        <v>735.54</v>
      </c>
      <c r="K78" s="2">
        <f t="shared" si="8"/>
        <v>1471.08</v>
      </c>
      <c r="L78" s="2">
        <v>461.92</v>
      </c>
    </row>
    <row r="79" spans="1:12" x14ac:dyDescent="0.2">
      <c r="A79" s="2" t="s">
        <v>143</v>
      </c>
      <c r="B79" s="2">
        <f t="shared" si="6"/>
        <v>6.666666666666667</v>
      </c>
      <c r="C79" s="2">
        <v>3.31</v>
      </c>
      <c r="D79" s="2">
        <v>3.67</v>
      </c>
      <c r="E79" s="2">
        <v>1.4</v>
      </c>
      <c r="F79" s="2">
        <v>0.32</v>
      </c>
      <c r="G79" s="2">
        <v>1.01</v>
      </c>
      <c r="H79" s="2">
        <f t="shared" si="7"/>
        <v>18.423188007151701</v>
      </c>
      <c r="I79" s="2">
        <f>IF(H79&gt;0, ((1+H79/100)^(1/5.5726)-1)*100, 0)</f>
        <v>3.0808957998753161</v>
      </c>
      <c r="J79" s="2">
        <v>727.1</v>
      </c>
      <c r="K79" s="2">
        <f t="shared" si="8"/>
        <v>1454.2</v>
      </c>
      <c r="L79" s="2">
        <v>267.91000000000003</v>
      </c>
    </row>
    <row r="80" spans="1:12" x14ac:dyDescent="0.2">
      <c r="A80" s="2" t="s">
        <v>145</v>
      </c>
      <c r="B80" s="2">
        <f t="shared" si="6"/>
        <v>6.666666666666667</v>
      </c>
      <c r="C80" s="2">
        <v>7.58</v>
      </c>
      <c r="D80" s="2">
        <v>7.93</v>
      </c>
      <c r="E80" s="2">
        <v>6.94</v>
      </c>
      <c r="F80" s="2">
        <v>4.99</v>
      </c>
      <c r="G80" s="2">
        <v>2.1800000000000002</v>
      </c>
      <c r="H80" s="2">
        <f t="shared" si="7"/>
        <v>58.65469439193447</v>
      </c>
      <c r="I80" s="2">
        <f>IF(H80&gt;0, ((1+H80/100)^(1/5.6301)-1)*100, 0)</f>
        <v>8.5434934408906713</v>
      </c>
      <c r="J80" s="2">
        <v>317.39999999999998</v>
      </c>
      <c r="K80" s="2">
        <f t="shared" si="8"/>
        <v>634.79999999999995</v>
      </c>
      <c r="L80" s="2">
        <v>372.34</v>
      </c>
    </row>
    <row r="81" spans="1:12" x14ac:dyDescent="0.2">
      <c r="A81" s="2" t="s">
        <v>147</v>
      </c>
      <c r="B81" s="2">
        <f t="shared" si="6"/>
        <v>6.666666666666667</v>
      </c>
      <c r="C81" s="2">
        <v>4.9400000000000004</v>
      </c>
      <c r="D81" s="2">
        <v>3.97</v>
      </c>
      <c r="E81" s="2">
        <v>2.2599999999999998</v>
      </c>
      <c r="F81" s="2">
        <v>0.73</v>
      </c>
      <c r="G81" s="2">
        <v>1.0900000000000001</v>
      </c>
      <c r="H81" s="2">
        <f t="shared" si="7"/>
        <v>26.163806391943272</v>
      </c>
      <c r="I81" s="2">
        <f>IF(H81&gt;0, ((1+H81/100)^(1/5.4822)-1)*100, 0)</f>
        <v>4.3305182390399155</v>
      </c>
      <c r="J81" s="2">
        <v>486.55</v>
      </c>
      <c r="K81" s="2">
        <f t="shared" si="8"/>
        <v>973.1</v>
      </c>
      <c r="L81" s="2">
        <v>254.6</v>
      </c>
    </row>
    <row r="82" spans="1:12" x14ac:dyDescent="0.2">
      <c r="A82" s="2" t="s">
        <v>109</v>
      </c>
      <c r="B82" s="2">
        <f t="shared" si="6"/>
        <v>6.666666666666667</v>
      </c>
      <c r="C82" s="2">
        <v>17.05</v>
      </c>
      <c r="D82" s="2">
        <v>11.39</v>
      </c>
      <c r="E82" s="2">
        <v>22.42</v>
      </c>
      <c r="F82" s="2">
        <v>39.880000000000003</v>
      </c>
      <c r="G82" s="2">
        <v>3.13</v>
      </c>
      <c r="H82" s="2">
        <f t="shared" si="7"/>
        <v>145.11019771809225</v>
      </c>
      <c r="I82" s="2">
        <f>IF(H82&gt;0, ((1+H82/100)^(1/5.5836)-1)*100, 0)</f>
        <v>17.417555896659188</v>
      </c>
      <c r="J82" s="2">
        <v>141.11000000000001</v>
      </c>
      <c r="K82" s="2">
        <f t="shared" si="8"/>
        <v>282.22000000000003</v>
      </c>
      <c r="L82" s="2">
        <v>409.53</v>
      </c>
    </row>
    <row r="83" spans="1:12" x14ac:dyDescent="0.2">
      <c r="A83" s="2" t="s">
        <v>149</v>
      </c>
      <c r="B83" s="2">
        <f t="shared" si="6"/>
        <v>6.666666666666667</v>
      </c>
      <c r="C83" s="2">
        <v>4.8499999999999996</v>
      </c>
      <c r="D83" s="2">
        <v>5.31</v>
      </c>
      <c r="E83" s="2">
        <v>2.98</v>
      </c>
      <c r="F83" s="2">
        <v>1.23</v>
      </c>
      <c r="G83" s="2">
        <v>1.46</v>
      </c>
      <c r="H83" s="2">
        <f t="shared" si="7"/>
        <v>33.697362052274933</v>
      </c>
      <c r="I83" s="2">
        <f>IF(H83&gt;0, ((1+H83/100)^(1/5.5123)-1)*100, 0)</f>
        <v>5.4096221550225421</v>
      </c>
      <c r="J83" s="2">
        <v>495.84</v>
      </c>
      <c r="K83" s="2">
        <f t="shared" si="8"/>
        <v>991.68</v>
      </c>
      <c r="L83" s="2">
        <v>334.17</v>
      </c>
    </row>
    <row r="84" spans="1:12" x14ac:dyDescent="0.2">
      <c r="A84" s="2" t="s">
        <v>151</v>
      </c>
      <c r="B84" s="2">
        <f t="shared" si="6"/>
        <v>6.666666666666667</v>
      </c>
      <c r="C84" s="2">
        <v>4.0599999999999996</v>
      </c>
      <c r="D84" s="2">
        <v>4.6900000000000004</v>
      </c>
      <c r="E84" s="2">
        <v>2.2000000000000002</v>
      </c>
      <c r="F84" s="2">
        <v>0.55000000000000004</v>
      </c>
      <c r="G84" s="2">
        <v>1.29</v>
      </c>
      <c r="H84" s="2">
        <f t="shared" si="7"/>
        <v>20.225827669370751</v>
      </c>
      <c r="I84" s="2">
        <f>IF(H84&gt;0, ((1+H84/100)^(1/5.6384)-1)*100, 0)</f>
        <v>3.3208636467578989</v>
      </c>
      <c r="J84" s="2">
        <v>592.92999999999995</v>
      </c>
      <c r="K84" s="2">
        <f t="shared" si="8"/>
        <v>1185.8599999999999</v>
      </c>
      <c r="L84" s="2">
        <v>239.85</v>
      </c>
    </row>
    <row r="85" spans="1:12" x14ac:dyDescent="0.2">
      <c r="A85" s="2" t="s">
        <v>153</v>
      </c>
      <c r="B85" s="2">
        <f t="shared" si="6"/>
        <v>6.666666666666667</v>
      </c>
      <c r="C85" s="2">
        <v>3.56</v>
      </c>
      <c r="D85" s="2">
        <v>3.53</v>
      </c>
      <c r="E85" s="2">
        <v>1.45</v>
      </c>
      <c r="F85" s="2">
        <v>0.4</v>
      </c>
      <c r="G85" s="2">
        <v>0.97</v>
      </c>
      <c r="H85" s="2">
        <f t="shared" si="7"/>
        <v>22.68861494695668</v>
      </c>
      <c r="I85" s="2">
        <f>IF(H85&gt;0, ((1+H85/100)^(1/5.537)-1)*100, 0)</f>
        <v>3.7620003272375913</v>
      </c>
      <c r="J85" s="2">
        <v>674.92</v>
      </c>
      <c r="K85" s="2">
        <f t="shared" si="8"/>
        <v>1349.84</v>
      </c>
      <c r="L85" s="2">
        <v>306.26</v>
      </c>
    </row>
    <row r="86" spans="1:12" x14ac:dyDescent="0.2">
      <c r="A86" s="2" t="s">
        <v>155</v>
      </c>
      <c r="B86" s="2">
        <f t="shared" si="6"/>
        <v>6.666666666666667</v>
      </c>
      <c r="C86" s="2">
        <v>4.3499999999999996</v>
      </c>
      <c r="D86" s="2">
        <v>5.57</v>
      </c>
      <c r="E86" s="2">
        <v>2.79</v>
      </c>
      <c r="F86" s="2">
        <v>1.08</v>
      </c>
      <c r="G86" s="2">
        <v>1.53</v>
      </c>
      <c r="H86" s="2">
        <f t="shared" si="7"/>
        <v>31.504164182609795</v>
      </c>
      <c r="I86" s="2">
        <f>IF(H86&gt;0, ((1+H86/100)^(1/5.5041)-1)*100, 0)</f>
        <v>5.1015826684419396</v>
      </c>
      <c r="J86" s="2">
        <v>553.53</v>
      </c>
      <c r="K86" s="2">
        <f t="shared" si="8"/>
        <v>1107.06</v>
      </c>
      <c r="L86" s="2">
        <v>348.77</v>
      </c>
    </row>
    <row r="87" spans="1:12" x14ac:dyDescent="0.2">
      <c r="A87" s="2" t="s">
        <v>157</v>
      </c>
      <c r="B87" s="2">
        <f t="shared" si="6"/>
        <v>6.666666666666667</v>
      </c>
      <c r="C87" s="2">
        <v>3.15</v>
      </c>
      <c r="D87" s="2">
        <v>5.57</v>
      </c>
      <c r="E87" s="2">
        <v>2.02</v>
      </c>
      <c r="F87" s="2">
        <v>1.04</v>
      </c>
      <c r="G87" s="2">
        <v>1.53</v>
      </c>
      <c r="H87" s="2">
        <f t="shared" si="7"/>
        <v>41.938270635356943</v>
      </c>
      <c r="I87" s="2">
        <f>IF(H87&gt;0, ((1+H87/100)^(1/5.537)-1)*100, 0)</f>
        <v>6.5294440066842263</v>
      </c>
      <c r="J87" s="2">
        <v>763.98</v>
      </c>
      <c r="K87" s="2">
        <f t="shared" si="8"/>
        <v>1527.96</v>
      </c>
      <c r="L87" s="2">
        <v>640.79999999999995</v>
      </c>
    </row>
    <row r="88" spans="1:12" x14ac:dyDescent="0.2">
      <c r="A88" s="2" t="s">
        <v>117</v>
      </c>
      <c r="B88" s="2">
        <f t="shared" si="6"/>
        <v>6.666666666666667</v>
      </c>
      <c r="C88" s="2">
        <v>9.01</v>
      </c>
      <c r="D88" s="2">
        <v>6.73</v>
      </c>
      <c r="E88" s="2">
        <v>7</v>
      </c>
      <c r="F88" s="2">
        <v>4.18</v>
      </c>
      <c r="G88" s="2">
        <v>1.85</v>
      </c>
      <c r="H88" s="2">
        <f t="shared" si="7"/>
        <v>48.698696824445769</v>
      </c>
      <c r="I88" s="2">
        <f>IF(H88&gt;0, ((1+H88/100)^(1/5.2685)-1)*100, 0)</f>
        <v>7.8214492869299157</v>
      </c>
      <c r="J88" s="2">
        <v>267.04000000000002</v>
      </c>
      <c r="K88" s="2">
        <f t="shared" si="8"/>
        <v>534.08000000000004</v>
      </c>
      <c r="L88" s="2">
        <v>260.08999999999997</v>
      </c>
    </row>
    <row r="89" spans="1:12" x14ac:dyDescent="0.2">
      <c r="A89" s="2" t="s">
        <v>119</v>
      </c>
      <c r="B89" s="2">
        <f t="shared" si="6"/>
        <v>6.666666666666667</v>
      </c>
      <c r="C89" s="2">
        <v>9.39</v>
      </c>
      <c r="D89" s="2">
        <v>7.89</v>
      </c>
      <c r="E89" s="2">
        <v>8.56</v>
      </c>
      <c r="F89" s="2">
        <v>6.81</v>
      </c>
      <c r="G89" s="2">
        <v>2.17</v>
      </c>
      <c r="H89" s="2">
        <f t="shared" si="7"/>
        <v>64.849726775956299</v>
      </c>
      <c r="I89" s="2">
        <f>IF(H89&gt;0, ((1+H89/100)^(1/5.4575)-1)*100, 0)</f>
        <v>9.5917754333622707</v>
      </c>
      <c r="J89" s="2">
        <v>256.2</v>
      </c>
      <c r="K89" s="2">
        <f t="shared" si="8"/>
        <v>512.4</v>
      </c>
      <c r="L89" s="2">
        <v>332.29</v>
      </c>
    </row>
    <row r="90" spans="1:12" x14ac:dyDescent="0.2">
      <c r="A90" s="2" t="s">
        <v>122</v>
      </c>
      <c r="B90" s="2">
        <f t="shared" si="6"/>
        <v>6.666666666666667</v>
      </c>
      <c r="C90" s="2">
        <v>16.14</v>
      </c>
      <c r="D90" s="2">
        <v>15.5</v>
      </c>
      <c r="E90" s="2">
        <v>28.88</v>
      </c>
      <c r="F90" s="2">
        <v>30.52</v>
      </c>
      <c r="G90" s="2">
        <v>4.26</v>
      </c>
      <c r="H90" s="2">
        <f t="shared" si="7"/>
        <v>86.213025689181023</v>
      </c>
      <c r="I90" s="2">
        <f>IF(H90&gt;0, ((1+H90/100)^(1/5.2685)-1)*100, 0)</f>
        <v>12.525225556583241</v>
      </c>
      <c r="J90" s="2">
        <v>149.09</v>
      </c>
      <c r="K90" s="2">
        <f t="shared" si="8"/>
        <v>298.18</v>
      </c>
      <c r="L90" s="2">
        <v>257.07</v>
      </c>
    </row>
    <row r="91" spans="1:12" x14ac:dyDescent="0.2">
      <c r="A91" s="4" t="s">
        <v>35</v>
      </c>
      <c r="B91" s="4">
        <f>SUM(B76:B90)</f>
        <v>100.00000000000001</v>
      </c>
      <c r="C91" s="4">
        <f>SUM(C76:C90)</f>
        <v>100.00000000000001</v>
      </c>
      <c r="D91" s="4">
        <f>SUM(D76:D90)</f>
        <v>100</v>
      </c>
      <c r="E91" s="4">
        <f>SUM(E76:E90)</f>
        <v>99.98</v>
      </c>
      <c r="F91" s="4">
        <f>SUM(F76:F90)</f>
        <v>100.00999999999999</v>
      </c>
      <c r="G91" s="4">
        <f>AVERAGE(G76:G90)</f>
        <v>1.8326666666666669</v>
      </c>
      <c r="H91" s="4"/>
      <c r="I91" s="4"/>
      <c r="J91" s="4">
        <f>SUM(J76:J90)</f>
        <v>7747.3700000000008</v>
      </c>
      <c r="K91" s="4">
        <f>SUM(K76:K90)</f>
        <v>15494.740000000002</v>
      </c>
      <c r="L91" s="4">
        <f>SUM(L76:L90)</f>
        <v>5461.5199999999995</v>
      </c>
    </row>
    <row r="93" spans="1:12" x14ac:dyDescent="0.2">
      <c r="A93" s="31" t="s">
        <v>178</v>
      </c>
      <c r="B93" s="21"/>
      <c r="C93" s="21"/>
      <c r="D93" s="21"/>
      <c r="E93" s="21"/>
      <c r="F93" s="21"/>
    </row>
    <row r="94" spans="1:12" x14ac:dyDescent="0.2">
      <c r="A94" s="19" t="s">
        <v>179</v>
      </c>
      <c r="B94" s="19" t="s">
        <v>180</v>
      </c>
      <c r="C94" s="19" t="s">
        <v>181</v>
      </c>
      <c r="D94" s="19" t="s">
        <v>182</v>
      </c>
    </row>
    <row r="95" spans="1:12" x14ac:dyDescent="0.2">
      <c r="A95" s="18" t="s">
        <v>3</v>
      </c>
      <c r="B95" s="18">
        <f>SUMPRODUCT(B76:B90/100, G76:G90*J76:J90)/SQRT((1-0.3)*SUMPRODUCT((B76:B90/100)^2, J76:J90^2) + 0.3*(SUMPRODUCT(B76:B90/100, J76:J90))^2)</f>
        <v>2.4474737579274644</v>
      </c>
      <c r="C95" s="18">
        <f>SUMPRODUCT(B76:B90/100, I76:I90)</f>
        <v>7.0545371023719934</v>
      </c>
      <c r="D95" s="18" t="s">
        <v>183</v>
      </c>
    </row>
    <row r="96" spans="1:12" x14ac:dyDescent="0.2">
      <c r="A96" s="18" t="s">
        <v>11</v>
      </c>
      <c r="B96" s="18">
        <f>SUMPRODUCT(C76:C90/100, G76:G90*J76:J90)/SQRT((1-0.3)*SUMPRODUCT((C76:C90/100)^2, J76:J90^2) + 0.3*(SUMPRODUCT(C76:C90/100, J76:J90))^2)</f>
        <v>3.1125473673456909</v>
      </c>
      <c r="C96" s="18">
        <f>SUMPRODUCT(C76:C90/100, I76:I90)</f>
        <v>9.4981567898780916</v>
      </c>
      <c r="D96" s="18" t="s">
        <v>183</v>
      </c>
    </row>
    <row r="97" spans="1:12" x14ac:dyDescent="0.2">
      <c r="A97" s="18" t="s">
        <v>6</v>
      </c>
      <c r="B97" s="18">
        <f>SUMPRODUCT(D76:D90/100, G76:G90*J76:J90)/SQRT((1-0.3)*SUMPRODUCT((D76:D90/100)^2, J76:J90^2) + 0.3*(SUMPRODUCT(D76:D90/100, J76:J90))^2)</f>
        <v>2.9235927252597431</v>
      </c>
      <c r="C97" s="18">
        <f>SUMPRODUCT(D76:D90/100, I76:I90)</f>
        <v>8.7308663306001844</v>
      </c>
      <c r="D97" s="18" t="s">
        <v>183</v>
      </c>
    </row>
    <row r="98" spans="1:12" x14ac:dyDescent="0.2">
      <c r="A98" s="18" t="s">
        <v>8</v>
      </c>
      <c r="B98" s="18">
        <f>SUMPRODUCT(E76:E90/100, G76:G90*J76:J90)/SQRT((1-0.3)*SUMPRODUCT((E76:E90/100)^2, J76:J90^2) + 0.3*(SUMPRODUCT(E76:E90/100, J76:J90))^2)</f>
        <v>3.7706073833403297</v>
      </c>
      <c r="C98" s="18">
        <f>SUMPRODUCT(E76:E90/100, I76:I90)</f>
        <v>11.143455006562668</v>
      </c>
      <c r="D98" s="18" t="s">
        <v>183</v>
      </c>
    </row>
    <row r="99" spans="1:12" x14ac:dyDescent="0.2">
      <c r="A99" s="18" t="s">
        <v>15</v>
      </c>
      <c r="B99" s="18">
        <f>SUMPRODUCT(F76:F90/100, G76:G90*J76:J90)/SQRT((1-0.3)*SUMPRODUCT((F76:F90/100)^2, J76:J90^2) + 0.3*(SUMPRODUCT(F76:F90/100, J76:J90))^2)</f>
        <v>4.3248583399817644</v>
      </c>
      <c r="C99" s="18">
        <f>SUMPRODUCT(F76:F90/100, I76:I90)</f>
        <v>13.227782298440266</v>
      </c>
      <c r="D99" s="18" t="s">
        <v>183</v>
      </c>
    </row>
    <row r="102" spans="1:12" ht="16" customHeight="1" x14ac:dyDescent="0.2">
      <c r="A102" s="30" t="s">
        <v>188</v>
      </c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</row>
    <row r="103" spans="1:12" x14ac:dyDescent="0.2">
      <c r="A103" s="1" t="s">
        <v>75</v>
      </c>
      <c r="B103" s="1" t="s">
        <v>172</v>
      </c>
      <c r="C103" s="1" t="s">
        <v>173</v>
      </c>
      <c r="D103" s="1" t="s">
        <v>174</v>
      </c>
      <c r="E103" s="1" t="s">
        <v>175</v>
      </c>
      <c r="F103" s="1" t="s">
        <v>176</v>
      </c>
      <c r="G103" s="1" t="s">
        <v>76</v>
      </c>
      <c r="H103" s="1" t="s">
        <v>23</v>
      </c>
      <c r="I103" s="1" t="s">
        <v>22</v>
      </c>
      <c r="J103" s="1" t="s">
        <v>26</v>
      </c>
      <c r="K103" s="1" t="s">
        <v>177</v>
      </c>
      <c r="L103" s="1" t="s">
        <v>25</v>
      </c>
    </row>
    <row r="104" spans="1:12" x14ac:dyDescent="0.2">
      <c r="A104" s="2" t="s">
        <v>161</v>
      </c>
      <c r="B104" s="2">
        <f>100/2</f>
        <v>50</v>
      </c>
      <c r="C104" s="2">
        <v>32.96</v>
      </c>
      <c r="D104" s="2">
        <v>25.74</v>
      </c>
      <c r="E104" s="2">
        <v>36.520000000000003</v>
      </c>
      <c r="F104" s="2">
        <v>22.56</v>
      </c>
      <c r="G104" s="2">
        <v>2</v>
      </c>
      <c r="H104" s="2">
        <f>IF(K104&gt;0, (L104/K104)*100, 0)</f>
        <v>159.40388033175356</v>
      </c>
      <c r="I104" s="2">
        <f>IF(H104&gt;0, ((1+H104/100)^(1/5.537)-1)*100, 0)</f>
        <v>18.786060952153228</v>
      </c>
      <c r="J104" s="2">
        <v>6752</v>
      </c>
      <c r="K104" s="2">
        <f>J104*2</f>
        <v>13504</v>
      </c>
      <c r="L104" s="2">
        <v>21525.9</v>
      </c>
    </row>
    <row r="105" spans="1:12" x14ac:dyDescent="0.2">
      <c r="A105" s="2" t="s">
        <v>162</v>
      </c>
      <c r="B105" s="2">
        <f>100/2</f>
        <v>50</v>
      </c>
      <c r="C105" s="2">
        <v>67.040000000000006</v>
      </c>
      <c r="D105" s="2">
        <v>74.260000000000005</v>
      </c>
      <c r="E105" s="2">
        <v>63.48</v>
      </c>
      <c r="F105" s="2">
        <v>77.44</v>
      </c>
      <c r="G105" s="2">
        <v>5.77</v>
      </c>
      <c r="H105" s="2">
        <f>IF(K105&gt;0, (L105/K105)*100, 0)</f>
        <v>93.246007833684843</v>
      </c>
      <c r="I105" s="2">
        <f>IF(H105&gt;0, ((1+H105/100)^(1/5.9178)-1)*100, 0)</f>
        <v>11.775712914849933</v>
      </c>
      <c r="J105" s="2">
        <v>3319</v>
      </c>
      <c r="K105" s="2">
        <f>J105*2</f>
        <v>6638</v>
      </c>
      <c r="L105" s="2">
        <v>6189.67</v>
      </c>
    </row>
    <row r="106" spans="1:12" x14ac:dyDescent="0.2">
      <c r="A106" s="4" t="s">
        <v>35</v>
      </c>
      <c r="B106" s="4">
        <f>SUM(B104:B105)</f>
        <v>100</v>
      </c>
      <c r="C106" s="4">
        <f>SUM(C104:C105)</f>
        <v>100</v>
      </c>
      <c r="D106" s="4">
        <f>SUM(D104:D105)</f>
        <v>100</v>
      </c>
      <c r="E106" s="4">
        <f>SUM(E104:E105)</f>
        <v>100</v>
      </c>
      <c r="F106" s="4">
        <f>SUM(F104:F105)</f>
        <v>100</v>
      </c>
      <c r="G106" s="4">
        <f>AVERAGE(G104:G105)</f>
        <v>3.8849999999999998</v>
      </c>
      <c r="H106" s="4"/>
      <c r="I106" s="4"/>
      <c r="J106" s="4">
        <f>SUM(J104:J105)</f>
        <v>10071</v>
      </c>
      <c r="K106" s="4">
        <f>SUM(K104:K105)</f>
        <v>20142</v>
      </c>
      <c r="L106" s="4">
        <f>SUM(L104:L105)</f>
        <v>27715.57</v>
      </c>
    </row>
    <row r="108" spans="1:12" x14ac:dyDescent="0.2">
      <c r="A108" s="31" t="s">
        <v>178</v>
      </c>
      <c r="B108" s="21"/>
      <c r="C108" s="21"/>
      <c r="D108" s="21"/>
      <c r="E108" s="21"/>
      <c r="F108" s="21"/>
    </row>
    <row r="109" spans="1:12" x14ac:dyDescent="0.2">
      <c r="A109" s="19" t="s">
        <v>179</v>
      </c>
      <c r="B109" s="19" t="s">
        <v>180</v>
      </c>
      <c r="C109" s="19" t="s">
        <v>181</v>
      </c>
      <c r="D109" s="19" t="s">
        <v>182</v>
      </c>
    </row>
    <row r="110" spans="1:12" x14ac:dyDescent="0.2">
      <c r="A110" s="18" t="s">
        <v>3</v>
      </c>
      <c r="B110" s="18">
        <f>SUMPRODUCT(B104:B105/100, G104:G105*J104:J105)/SQRT((1-0.3)*SUMPRODUCT((B104:B105/100)^2, J104:J105^2) + 0.3*(SUMPRODUCT(B104:B105/100, J104:J105))^2)</f>
        <v>3.9015482704863254</v>
      </c>
      <c r="C110" s="18">
        <f>SUMPRODUCT(B104:B105/100, I104:I105)</f>
        <v>15.280886933501581</v>
      </c>
      <c r="D110" s="18" t="s">
        <v>183</v>
      </c>
    </row>
    <row r="111" spans="1:12" x14ac:dyDescent="0.2">
      <c r="A111" s="18" t="s">
        <v>11</v>
      </c>
      <c r="B111" s="18">
        <f>SUMPRODUCT(C104:C105/100, G104:G105*J104:J105)/SQRT((1-0.3)*SUMPRODUCT((C104:C105/100)^2, J104:J105^2) + 0.3*(SUMPRODUCT(C104:C105/100, J104:J105))^2)</f>
        <v>4.8185384498558692</v>
      </c>
      <c r="C111" s="18">
        <f>SUMPRODUCT(C104:C105/100, I104:I105)</f>
        <v>14.086323627945101</v>
      </c>
      <c r="D111" s="18" t="s">
        <v>183</v>
      </c>
    </row>
    <row r="112" spans="1:12" x14ac:dyDescent="0.2">
      <c r="A112" s="18" t="s">
        <v>6</v>
      </c>
      <c r="B112" s="18">
        <f>SUMPRODUCT(D104:D105/100, G104:G105*J104:J105)/SQRT((1-0.3)*SUMPRODUCT((D104:D105/100)^2, J104:J105^2) + 0.3*(SUMPRODUCT(D104:D105/100, J104:J105))^2)</f>
        <v>5.1815002259512157</v>
      </c>
      <c r="C112" s="18">
        <f>SUMPRODUCT(D104:D105/100, I104:I105)</f>
        <v>13.580176499651802</v>
      </c>
      <c r="D112" s="18" t="s">
        <v>183</v>
      </c>
    </row>
    <row r="113" spans="1:12" x14ac:dyDescent="0.2">
      <c r="A113" s="18" t="s">
        <v>8</v>
      </c>
      <c r="B113" s="18">
        <f>SUMPRODUCT(E104:E105/100, G104:G105*J104:J105)/SQRT((1-0.3)*SUMPRODUCT((E104:E105/100)^2, J104:J105^2) + 0.3*(SUMPRODUCT(E104:E105/100, J104:J105))^2)</f>
        <v>4.6275578173732317</v>
      </c>
      <c r="C113" s="18">
        <f>SUMPRODUCT(E104:E105/100, I104:I105)</f>
        <v>14.335892018073096</v>
      </c>
      <c r="D113" s="18" t="s">
        <v>183</v>
      </c>
    </row>
    <row r="114" spans="1:12" x14ac:dyDescent="0.2">
      <c r="A114" s="18" t="s">
        <v>15</v>
      </c>
      <c r="B114" s="18">
        <f>SUMPRODUCT(F104:F105/100, G104:G105*J104:J105)/SQRT((1-0.3)*SUMPRODUCT((F104:F105/100)^2, J104:J105^2) + 0.3*(SUMPRODUCT(F104:F105/100, J104:J105))^2)</f>
        <v>5.3237959786334459</v>
      </c>
      <c r="C114" s="18">
        <f>SUMPRODUCT(F104:F105/100, I104:I105)</f>
        <v>13.357247432065556</v>
      </c>
      <c r="D114" s="18" t="s">
        <v>183</v>
      </c>
    </row>
    <row r="117" spans="1:12" ht="16" customHeight="1" x14ac:dyDescent="0.2">
      <c r="A117" s="24" t="s">
        <v>189</v>
      </c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</row>
    <row r="118" spans="1:12" x14ac:dyDescent="0.2">
      <c r="A118" s="1" t="s">
        <v>75</v>
      </c>
      <c r="B118" s="1" t="s">
        <v>172</v>
      </c>
      <c r="C118" s="1" t="s">
        <v>173</v>
      </c>
      <c r="D118" s="1" t="s">
        <v>174</v>
      </c>
      <c r="E118" s="1" t="s">
        <v>175</v>
      </c>
      <c r="F118" s="1" t="s">
        <v>176</v>
      </c>
      <c r="G118" s="1" t="s">
        <v>76</v>
      </c>
      <c r="H118" s="1" t="s">
        <v>23</v>
      </c>
      <c r="I118" s="1" t="s">
        <v>22</v>
      </c>
      <c r="J118" s="1" t="s">
        <v>26</v>
      </c>
      <c r="K118" s="1" t="s">
        <v>177</v>
      </c>
      <c r="L118" s="1" t="s">
        <v>25</v>
      </c>
    </row>
    <row r="119" spans="1:12" x14ac:dyDescent="0.2">
      <c r="A119" s="2" t="s">
        <v>164</v>
      </c>
      <c r="B119" s="2">
        <f>100/5</f>
        <v>20</v>
      </c>
      <c r="C119" s="2">
        <v>47.73</v>
      </c>
      <c r="D119" s="2">
        <v>30.29</v>
      </c>
      <c r="E119" s="2">
        <v>31.72</v>
      </c>
      <c r="F119" s="2">
        <v>60.13</v>
      </c>
      <c r="G119" s="2">
        <v>1.31</v>
      </c>
      <c r="H119" s="2">
        <f>IF(K119&gt;0, (L119/K119)*100, 0)</f>
        <v>120.86737588652483</v>
      </c>
      <c r="I119" s="2">
        <f>IF(H119&gt;0, ((1+H119/100)^(1/5.989)-1)*100, 0)</f>
        <v>14.14597612450137</v>
      </c>
      <c r="J119" s="2">
        <v>705</v>
      </c>
      <c r="K119" s="2">
        <f>J119*2</f>
        <v>1410</v>
      </c>
      <c r="L119" s="2">
        <v>1704.23</v>
      </c>
    </row>
    <row r="120" spans="1:12" x14ac:dyDescent="0.2">
      <c r="A120" s="2" t="s">
        <v>131</v>
      </c>
      <c r="B120" s="2">
        <f>100/5</f>
        <v>20</v>
      </c>
      <c r="C120" s="2">
        <v>18.91</v>
      </c>
      <c r="D120" s="2">
        <v>19.43</v>
      </c>
      <c r="E120" s="2">
        <v>17.07</v>
      </c>
      <c r="F120" s="2">
        <v>17.3</v>
      </c>
      <c r="G120" s="2">
        <v>0.84</v>
      </c>
      <c r="H120" s="2">
        <f>IF(K120&gt;0, (L120/K120)*100, 0)</f>
        <v>136.82124789207421</v>
      </c>
      <c r="I120" s="2">
        <f>IF(H120&gt;0, ((1+H120/100)^(1/5.9507)-1)*100, 0)</f>
        <v>15.5900470453312</v>
      </c>
      <c r="J120" s="2">
        <v>1779</v>
      </c>
      <c r="K120" s="2">
        <f>J120*2</f>
        <v>3558</v>
      </c>
      <c r="L120" s="2">
        <v>4868.1000000000004</v>
      </c>
    </row>
    <row r="121" spans="1:12" x14ac:dyDescent="0.2">
      <c r="A121" s="2" t="s">
        <v>166</v>
      </c>
      <c r="B121" s="2">
        <f>100/5</f>
        <v>20</v>
      </c>
      <c r="C121" s="2">
        <v>16.66</v>
      </c>
      <c r="D121" s="2">
        <v>13.18</v>
      </c>
      <c r="E121" s="2">
        <v>17.07</v>
      </c>
      <c r="F121" s="2">
        <v>5.41</v>
      </c>
      <c r="G121" s="2">
        <v>0.56999999999999995</v>
      </c>
      <c r="H121" s="2">
        <f>IF(K121&gt;0, (L121/K121)*100, 0)</f>
        <v>71.542574257425755</v>
      </c>
      <c r="I121" s="2">
        <f>IF(H121&gt;0, ((1+H121/100)^(1/5.2384)-1)*100, 0)</f>
        <v>10.851386019219333</v>
      </c>
      <c r="J121" s="2">
        <v>2020</v>
      </c>
      <c r="K121" s="2">
        <f>J121*2</f>
        <v>4040</v>
      </c>
      <c r="L121" s="2">
        <v>2890.32</v>
      </c>
    </row>
    <row r="122" spans="1:12" x14ac:dyDescent="0.2">
      <c r="A122" s="2" t="s">
        <v>168</v>
      </c>
      <c r="B122" s="2">
        <f>100/5</f>
        <v>20</v>
      </c>
      <c r="C122" s="2">
        <v>9.36</v>
      </c>
      <c r="D122" s="2">
        <v>17.53</v>
      </c>
      <c r="E122" s="2">
        <v>17.07</v>
      </c>
      <c r="F122" s="2">
        <v>8.32</v>
      </c>
      <c r="G122" s="2">
        <v>0.76</v>
      </c>
      <c r="H122" s="2">
        <f>IF(K122&gt;0, (L122/K122)*100, 0)</f>
        <v>147.50625695216908</v>
      </c>
      <c r="I122" s="2">
        <f>IF(H122&gt;0, ((1+H122/100)^(1/5.2384)-1)*100, 0)</f>
        <v>18.887120614303889</v>
      </c>
      <c r="J122" s="2">
        <v>3596</v>
      </c>
      <c r="K122" s="2">
        <f>J122*2</f>
        <v>7192</v>
      </c>
      <c r="L122" s="2">
        <v>10608.65</v>
      </c>
    </row>
    <row r="123" spans="1:12" x14ac:dyDescent="0.2">
      <c r="A123" s="2" t="s">
        <v>136</v>
      </c>
      <c r="B123" s="2">
        <f>100/5</f>
        <v>20</v>
      </c>
      <c r="C123" s="2">
        <v>7.35</v>
      </c>
      <c r="D123" s="2">
        <v>19.57</v>
      </c>
      <c r="E123" s="2">
        <v>17.07</v>
      </c>
      <c r="F123" s="2">
        <v>8.84</v>
      </c>
      <c r="G123" s="2">
        <v>0.85</v>
      </c>
      <c r="H123" s="2">
        <f>IF(K123&gt;0, (L123/K123)*100, 0)</f>
        <v>178.61388949552304</v>
      </c>
      <c r="I123" s="2">
        <f>IF(H123&gt;0, ((1+H123/100)^(1/5.989)-1)*100, 0)</f>
        <v>18.659728413703558</v>
      </c>
      <c r="J123" s="2">
        <v>4579</v>
      </c>
      <c r="K123" s="2">
        <f>J123*2</f>
        <v>9158</v>
      </c>
      <c r="L123" s="2">
        <v>16357.46</v>
      </c>
    </row>
    <row r="124" spans="1:12" x14ac:dyDescent="0.2">
      <c r="A124" s="4" t="s">
        <v>35</v>
      </c>
      <c r="B124" s="4">
        <f>SUM(B119:B123)</f>
        <v>100</v>
      </c>
      <c r="C124" s="4">
        <f>SUM(C119:C123)</f>
        <v>100.00999999999999</v>
      </c>
      <c r="D124" s="4">
        <f>SUM(D119:D123)</f>
        <v>100</v>
      </c>
      <c r="E124" s="4">
        <f>SUM(E119:E123)</f>
        <v>100</v>
      </c>
      <c r="F124" s="4">
        <f>SUM(F119:F123)</f>
        <v>100</v>
      </c>
      <c r="G124" s="4">
        <f>AVERAGE(G119:G123)</f>
        <v>0.86599999999999988</v>
      </c>
      <c r="H124" s="4"/>
      <c r="I124" s="4"/>
      <c r="J124" s="4">
        <f>SUM(J119:J123)</f>
        <v>12679</v>
      </c>
      <c r="K124" s="4">
        <f>SUM(K119:K123)</f>
        <v>25358</v>
      </c>
      <c r="L124" s="4">
        <f>SUM(L119:L123)</f>
        <v>36428.759999999995</v>
      </c>
    </row>
    <row r="126" spans="1:12" x14ac:dyDescent="0.2">
      <c r="A126" s="31" t="s">
        <v>178</v>
      </c>
      <c r="B126" s="21"/>
      <c r="C126" s="21"/>
      <c r="D126" s="21"/>
      <c r="E126" s="21"/>
      <c r="F126" s="21"/>
    </row>
    <row r="127" spans="1:12" x14ac:dyDescent="0.2">
      <c r="A127" s="19" t="s">
        <v>179</v>
      </c>
      <c r="B127" s="19" t="s">
        <v>180</v>
      </c>
      <c r="C127" s="19" t="s">
        <v>181</v>
      </c>
      <c r="D127" s="19" t="s">
        <v>182</v>
      </c>
    </row>
    <row r="128" spans="1:12" x14ac:dyDescent="0.2">
      <c r="A128" s="18" t="s">
        <v>3</v>
      </c>
      <c r="B128" s="18">
        <f>SUMPRODUCT(B119:B123/100, G119:G123*J119:J123)/SQRT((1-0.3)*SUMPRODUCT((B119:B123/100)^2, J119:J123^2) + 0.3*(SUMPRODUCT(B119:B123/100, J119:J123))^2)</f>
        <v>1.1589386740747079</v>
      </c>
      <c r="C128" s="18">
        <f>SUMPRODUCT(B119:B123/100, I119:I123)</f>
        <v>15.62685164341187</v>
      </c>
      <c r="D128" s="18" t="s">
        <v>183</v>
      </c>
    </row>
    <row r="129" spans="1:4" x14ac:dyDescent="0.2">
      <c r="A129" s="18" t="s">
        <v>11</v>
      </c>
      <c r="B129" s="18">
        <f>SUMPRODUCT(C119:C123/100, G119:G123*J119:J123)/SQRT((1-0.3)*SUMPRODUCT((C119:C123/100)^2, J119:J123^2) + 0.3*(SUMPRODUCT(C119:C123/100, J119:J123))^2)</f>
        <v>1.3055274186244001</v>
      </c>
      <c r="C129" s="18">
        <f>SUMPRODUCT(C119:C123/100, I119:I123)</f>
        <v>14.64711773920463</v>
      </c>
      <c r="D129" s="18" t="s">
        <v>183</v>
      </c>
    </row>
    <row r="130" spans="1:4" x14ac:dyDescent="0.2">
      <c r="A130" s="18" t="s">
        <v>6</v>
      </c>
      <c r="B130" s="18">
        <f>SUMPRODUCT(D119:D123/100, G119:G123*J119:J123)/SQRT((1-0.3)*SUMPRODUCT((D119:D123/100)^2, J119:J123^2) + 0.3*(SUMPRODUCT(D119:D123/100, J119:J123))^2)</f>
        <v>1.2022566056977217</v>
      </c>
      <c r="C130" s="18">
        <f>SUMPRODUCT(D119:D123/100, I119:I123)</f>
        <v>15.706796080601684</v>
      </c>
      <c r="D130" s="18" t="s">
        <v>183</v>
      </c>
    </row>
    <row r="131" spans="1:4" x14ac:dyDescent="0.2">
      <c r="A131" s="18" t="s">
        <v>8</v>
      </c>
      <c r="B131" s="18">
        <f>SUMPRODUCT(E119:E123/100, G119:G123*J119:J123)/SQRT((1-0.3)*SUMPRODUCT((E119:E123/100)^2, J119:J123^2) + 0.3*(SUMPRODUCT(E119:E123/100, J119:J123))^2)</f>
        <v>1.2064074575283454</v>
      </c>
      <c r="C131" s="18">
        <f>SUMPRODUCT(E119:E123/100, I119:I123)</f>
        <v>15.409903379891482</v>
      </c>
      <c r="D131" s="18" t="s">
        <v>183</v>
      </c>
    </row>
    <row r="132" spans="1:4" x14ac:dyDescent="0.2">
      <c r="A132" s="18" t="s">
        <v>15</v>
      </c>
      <c r="B132" s="18">
        <f>SUMPRODUCT(F119:F123/100, G119:G123*J119:J123)/SQRT((1-0.3)*SUMPRODUCT((F119:F123/100)^2, J119:J123^2) + 0.3*(SUMPRODUCT(F119:F123/100, J119:J123))^2)</f>
        <v>1.384094874315436</v>
      </c>
      <c r="C132" s="18">
        <f>SUMPRODUCT(F119:F123/100, I119:I123)</f>
        <v>15.011041993026213</v>
      </c>
      <c r="D132" s="18" t="s">
        <v>183</v>
      </c>
    </row>
  </sheetData>
  <mergeCells count="16">
    <mergeCell ref="A117:L117"/>
    <mergeCell ref="A1:L1"/>
    <mergeCell ref="A126:F126"/>
    <mergeCell ref="A4:L4"/>
    <mergeCell ref="A55:L55"/>
    <mergeCell ref="A102:L102"/>
    <mergeCell ref="A74:L74"/>
    <mergeCell ref="A25:F25"/>
    <mergeCell ref="A34:L34"/>
    <mergeCell ref="A65:F65"/>
    <mergeCell ref="A2:L2"/>
    <mergeCell ref="A10:F10"/>
    <mergeCell ref="A46:F46"/>
    <mergeCell ref="A93:F93"/>
    <mergeCell ref="A108:F108"/>
    <mergeCell ref="A19:L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2"/>
  <sheetViews>
    <sheetView workbookViewId="0">
      <selection activeCell="A18" sqref="A18:E18"/>
    </sheetView>
  </sheetViews>
  <sheetFormatPr baseColWidth="10" defaultColWidth="8.83203125" defaultRowHeight="15" x14ac:dyDescent="0.2"/>
  <cols>
    <col min="1" max="1" width="22" customWidth="1"/>
    <col min="2" max="12" width="14" customWidth="1"/>
  </cols>
  <sheetData>
    <row r="1" spans="1:12" ht="21" customHeight="1" x14ac:dyDescent="0.25">
      <c r="A1" s="20" t="s">
        <v>190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x14ac:dyDescent="0.2">
      <c r="A2" s="28" t="s">
        <v>191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16" customHeight="1" x14ac:dyDescent="0.2">
      <c r="A4" s="32" t="s">
        <v>192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  <row r="5" spans="1:12" x14ac:dyDescent="0.2">
      <c r="A5" s="1" t="s">
        <v>18</v>
      </c>
      <c r="B5" s="1" t="s">
        <v>20</v>
      </c>
      <c r="C5" s="1" t="s">
        <v>21</v>
      </c>
      <c r="D5" s="1" t="s">
        <v>23</v>
      </c>
      <c r="E5" s="1" t="s">
        <v>22</v>
      </c>
      <c r="F5" s="1" t="s">
        <v>193</v>
      </c>
      <c r="G5" s="1" t="s">
        <v>172</v>
      </c>
      <c r="H5" s="1" t="s">
        <v>173</v>
      </c>
      <c r="I5" s="1" t="s">
        <v>174</v>
      </c>
      <c r="J5" s="1" t="s">
        <v>175</v>
      </c>
      <c r="K5" s="1" t="s">
        <v>176</v>
      </c>
      <c r="L5" s="1" t="s">
        <v>25</v>
      </c>
    </row>
    <row r="6" spans="1:12" x14ac:dyDescent="0.2">
      <c r="A6" s="2" t="s">
        <v>28</v>
      </c>
      <c r="B6" s="2">
        <v>2</v>
      </c>
      <c r="C6" s="2">
        <v>1.46</v>
      </c>
      <c r="D6" s="2">
        <f t="shared" ref="D6:D12" si="0">IF(F6&gt;0, (L6/F6)*100, 0)</f>
        <v>171.25225225225225</v>
      </c>
      <c r="E6" s="2">
        <f>IF(D6&gt;0, ((1+D6/100)^(1/5.6959)-1)*100, 0)</f>
        <v>19.14755664082346</v>
      </c>
      <c r="F6" s="2">
        <v>2664</v>
      </c>
      <c r="G6" s="2">
        <f t="shared" ref="G6:G12" si="1">100/7</f>
        <v>14.285714285714286</v>
      </c>
      <c r="H6" s="2">
        <v>6.57</v>
      </c>
      <c r="I6" s="2">
        <v>9.74</v>
      </c>
      <c r="J6" s="2">
        <v>6.67</v>
      </c>
      <c r="K6" s="2">
        <v>14.57</v>
      </c>
      <c r="L6" s="2">
        <v>4562.16</v>
      </c>
    </row>
    <row r="7" spans="1:12" x14ac:dyDescent="0.2">
      <c r="A7" s="2" t="s">
        <v>29</v>
      </c>
      <c r="B7" s="2">
        <v>2</v>
      </c>
      <c r="C7" s="2">
        <v>1.05</v>
      </c>
      <c r="D7" s="2">
        <f t="shared" si="0"/>
        <v>138.20199063231848</v>
      </c>
      <c r="E7" s="2">
        <f>IF(D7&gt;0, ((1+D7/100)^(1/4.8932)-1)*100, 0)</f>
        <v>19.408305382718758</v>
      </c>
      <c r="F7" s="2">
        <v>6832</v>
      </c>
      <c r="G7" s="2">
        <f t="shared" si="1"/>
        <v>14.285714285714286</v>
      </c>
      <c r="H7" s="2">
        <v>2.56</v>
      </c>
      <c r="I7" s="2">
        <v>7.01</v>
      </c>
      <c r="J7" s="2">
        <v>6.07</v>
      </c>
      <c r="K7" s="2">
        <v>3.3</v>
      </c>
      <c r="L7" s="2">
        <v>9441.9599999999991</v>
      </c>
    </row>
    <row r="8" spans="1:12" x14ac:dyDescent="0.2">
      <c r="A8" s="2" t="s">
        <v>30</v>
      </c>
      <c r="B8" s="2">
        <v>8</v>
      </c>
      <c r="C8" s="2">
        <v>4.96</v>
      </c>
      <c r="D8" s="2">
        <f t="shared" si="0"/>
        <v>124.06291178795981</v>
      </c>
      <c r="E8" s="2">
        <f>IF(D8&gt;0, ((1+D8/100)^(1/5.2192)-1)*100, 0)</f>
        <v>16.716155309005831</v>
      </c>
      <c r="F8" s="2">
        <v>5312.2</v>
      </c>
      <c r="G8" s="2">
        <f t="shared" si="1"/>
        <v>14.285714285714286</v>
      </c>
      <c r="H8" s="2">
        <v>3.29</v>
      </c>
      <c r="I8" s="2">
        <v>32.979999999999997</v>
      </c>
      <c r="J8" s="2">
        <v>11.33</v>
      </c>
      <c r="K8" s="2">
        <v>17.93</v>
      </c>
      <c r="L8" s="2">
        <v>6590.47</v>
      </c>
    </row>
    <row r="9" spans="1:12" x14ac:dyDescent="0.2">
      <c r="A9" s="2" t="s">
        <v>31</v>
      </c>
      <c r="B9" s="2">
        <v>6</v>
      </c>
      <c r="C9" s="2">
        <v>0.98</v>
      </c>
      <c r="D9" s="2">
        <f t="shared" si="0"/>
        <v>79.717530576587066</v>
      </c>
      <c r="E9" s="2">
        <f>IF(D9&gt;0, ((1+D9/100)^(1/5.9055)-1)*100, 0)</f>
        <v>10.436016887580468</v>
      </c>
      <c r="F9" s="2">
        <v>206.04</v>
      </c>
      <c r="G9" s="2">
        <f t="shared" si="1"/>
        <v>14.285714285714286</v>
      </c>
      <c r="H9" s="2">
        <v>84.89</v>
      </c>
      <c r="I9" s="2">
        <v>6.52</v>
      </c>
      <c r="J9" s="2">
        <v>57.73</v>
      </c>
      <c r="K9" s="2">
        <v>58.69</v>
      </c>
      <c r="L9" s="2">
        <v>164.25</v>
      </c>
    </row>
    <row r="10" spans="1:12" x14ac:dyDescent="0.2">
      <c r="A10" s="2" t="s">
        <v>32</v>
      </c>
      <c r="B10" s="2">
        <v>15</v>
      </c>
      <c r="C10" s="2">
        <v>1.83</v>
      </c>
      <c r="D10" s="2">
        <f t="shared" si="0"/>
        <v>35.247574338130235</v>
      </c>
      <c r="E10" s="2">
        <f>IF(D10&gt;0, ((1+D10/100)^(1/5.5313)-1)*100, 0)</f>
        <v>5.6104300764879822</v>
      </c>
      <c r="F10" s="2">
        <v>15494.74</v>
      </c>
      <c r="G10" s="2">
        <f t="shared" si="1"/>
        <v>14.285714285714286</v>
      </c>
      <c r="H10" s="2">
        <v>1.1299999999999999</v>
      </c>
      <c r="I10" s="2">
        <v>12.18</v>
      </c>
      <c r="J10" s="2">
        <v>6.07</v>
      </c>
      <c r="K10" s="2">
        <v>0.64</v>
      </c>
      <c r="L10" s="2">
        <v>5461.52</v>
      </c>
    </row>
    <row r="11" spans="1:12" x14ac:dyDescent="0.2">
      <c r="A11" s="2" t="s">
        <v>33</v>
      </c>
      <c r="B11" s="2">
        <v>2</v>
      </c>
      <c r="C11" s="2">
        <v>3.88</v>
      </c>
      <c r="D11" s="2">
        <f t="shared" si="0"/>
        <v>137.60088372554858</v>
      </c>
      <c r="E11" s="2">
        <f>IF(D11&gt;0, ((1+D11/100)^(1/5.7274)-1)*100, 0)</f>
        <v>16.311539662633344</v>
      </c>
      <c r="F11" s="2">
        <v>20142</v>
      </c>
      <c r="G11" s="2">
        <f t="shared" si="1"/>
        <v>14.285714285714286</v>
      </c>
      <c r="H11" s="2">
        <v>0.87</v>
      </c>
      <c r="I11" s="2">
        <v>25.82</v>
      </c>
      <c r="J11" s="2">
        <v>6.07</v>
      </c>
      <c r="K11" s="2">
        <v>4.1100000000000003</v>
      </c>
      <c r="L11" s="2">
        <v>27715.57</v>
      </c>
    </row>
    <row r="12" spans="1:12" x14ac:dyDescent="0.2">
      <c r="A12" s="2" t="s">
        <v>34</v>
      </c>
      <c r="B12" s="2">
        <v>5</v>
      </c>
      <c r="C12" s="2">
        <v>0.86</v>
      </c>
      <c r="D12" s="2">
        <f t="shared" si="0"/>
        <v>143.65785945263823</v>
      </c>
      <c r="E12" s="2">
        <f>IF(D12&gt;0, ((1+D12/100)^(1/5.6811)-1)*100, 0)</f>
        <v>16.972012039985973</v>
      </c>
      <c r="F12" s="2">
        <v>25358</v>
      </c>
      <c r="G12" s="2">
        <f t="shared" si="1"/>
        <v>14.285714285714286</v>
      </c>
      <c r="H12" s="2">
        <v>0.69</v>
      </c>
      <c r="I12" s="2">
        <v>5.75</v>
      </c>
      <c r="J12" s="2">
        <v>6.07</v>
      </c>
      <c r="K12" s="2">
        <v>0.76</v>
      </c>
      <c r="L12" s="2">
        <v>36428.76</v>
      </c>
    </row>
    <row r="13" spans="1:12" x14ac:dyDescent="0.2">
      <c r="A13" s="4" t="s">
        <v>35</v>
      </c>
      <c r="B13" s="4">
        <f>SUM(B6:B12)</f>
        <v>40</v>
      </c>
      <c r="C13" s="4"/>
      <c r="D13" s="4"/>
      <c r="E13" s="4"/>
      <c r="F13" s="4">
        <f t="shared" ref="F13:L13" si="2">SUM(F6:F12)</f>
        <v>76008.98000000001</v>
      </c>
      <c r="G13" s="4">
        <f t="shared" si="2"/>
        <v>100.00000000000001</v>
      </c>
      <c r="H13" s="4">
        <f t="shared" si="2"/>
        <v>100</v>
      </c>
      <c r="I13" s="4">
        <f t="shared" si="2"/>
        <v>100</v>
      </c>
      <c r="J13" s="4">
        <f t="shared" si="2"/>
        <v>100.00999999999999</v>
      </c>
      <c r="K13" s="4">
        <f t="shared" si="2"/>
        <v>100</v>
      </c>
      <c r="L13" s="4">
        <f t="shared" si="2"/>
        <v>90364.69</v>
      </c>
    </row>
    <row r="16" spans="1:12" ht="16" customHeight="1" x14ac:dyDescent="0.2">
      <c r="A16" s="29" t="s">
        <v>194</v>
      </c>
      <c r="B16" s="21"/>
      <c r="C16" s="21"/>
      <c r="D16" s="21"/>
      <c r="E16" s="21"/>
    </row>
    <row r="17" spans="1:5" x14ac:dyDescent="0.2">
      <c r="A17" s="17" t="s">
        <v>179</v>
      </c>
      <c r="B17" s="17" t="s">
        <v>180</v>
      </c>
      <c r="C17" s="17" t="s">
        <v>181</v>
      </c>
      <c r="D17" s="17" t="s">
        <v>195</v>
      </c>
      <c r="E17" s="17" t="s">
        <v>196</v>
      </c>
    </row>
    <row r="18" spans="1:5" x14ac:dyDescent="0.2">
      <c r="A18" s="9" t="s">
        <v>3</v>
      </c>
      <c r="B18" s="9">
        <f t="array" ref="B18">SUMPRODUCT(G6:G12/100, C6:C12*F6:F12/2)/SQRT((1-0.3)*SUMPRODUCT((G6:G12/100)^2, (F6:F12/2)^2) + 0.3*(SUMPRODUCT(G6:G12/100, F6:F12/2))^2)</f>
        <v>3.1975432161270159</v>
      </c>
      <c r="C18" s="9">
        <f>SUMPRODUCT(G6:G12/100, E6:E12)</f>
        <v>14.943145142747976</v>
      </c>
      <c r="D18" s="9">
        <f>SUMPRODUCT(G6:G12/100, D6:D12)</f>
        <v>118.53442896649068</v>
      </c>
      <c r="E18" s="18" t="s">
        <v>197</v>
      </c>
    </row>
    <row r="19" spans="1:5" x14ac:dyDescent="0.2">
      <c r="A19" s="9" t="s">
        <v>11</v>
      </c>
      <c r="B19" s="9">
        <f>SUMPRODUCT(H6:H12/100, C6:C12*F6:F12/2)/SQRT((1-0.3)*SUMPRODUCT((H6:H12/100)^2, (F6:F12/2)^2) + 0.3*(SUMPRODUCT(H6:H12/100, F6:F12/2))^2)</f>
        <v>3.3926409420882941</v>
      </c>
      <c r="C19" s="9">
        <f>SUMPRODUCT(H6:H12/100, E6:E12)</f>
        <v>11.486358472638182</v>
      </c>
      <c r="D19" s="9">
        <f>SUMPRODUCT(H6:H12/100, D6:D12)</f>
        <v>89.129789946105305</v>
      </c>
      <c r="E19" s="18" t="s">
        <v>197</v>
      </c>
    </row>
    <row r="20" spans="1:5" x14ac:dyDescent="0.2">
      <c r="A20" s="9" t="s">
        <v>6</v>
      </c>
      <c r="B20" s="9">
        <f>SUMPRODUCT(I6:I12/100, C6:C12*F6:F12/2)/SQRT((1-0.3)*SUMPRODUCT((I6:I12/100)^2, (F6:F12/2)^2) + 0.3*(SUMPRODUCT(I6:I12/100, F6:F12/2))^2)</f>
        <v>4.3813302702078252</v>
      </c>
      <c r="C20" s="9">
        <f>SUMPRODUCT(I6:I12/100, E6:E12)</f>
        <v>15.28979116263252</v>
      </c>
      <c r="D20" s="9">
        <f>SUMPRODUCT(I6:I12/100, D6:D12)</f>
        <v>120.56348986480511</v>
      </c>
      <c r="E20" s="18" t="s">
        <v>197</v>
      </c>
    </row>
    <row r="21" spans="1:5" x14ac:dyDescent="0.2">
      <c r="A21" s="9" t="s">
        <v>8</v>
      </c>
      <c r="B21" s="9">
        <f>SUMPRODUCT(J6:J12/100, C6:C12*F6:F12/2)/SQRT((1-0.3)*SUMPRODUCT((J6:J12/100)^2, (F6:F12/2)^2) + 0.3*(SUMPRODUCT(J6:J12/100, F6:F12/2))^2)</f>
        <v>3.4499815103700935</v>
      </c>
      <c r="C21" s="9">
        <f>SUMPRODUCT(J6:J12/100, E6:E12)</f>
        <v>12.734743804376331</v>
      </c>
      <c r="D21" s="9">
        <f>SUMPRODUCT(J6:J12/100, D6:D12)</f>
        <v>99.100577837286963</v>
      </c>
      <c r="E21" s="18" t="s">
        <v>197</v>
      </c>
    </row>
    <row r="22" spans="1:5" x14ac:dyDescent="0.2">
      <c r="A22" s="9" t="s">
        <v>15</v>
      </c>
      <c r="B22" s="9">
        <f>SUMPRODUCT(K6:K12/100, C6:C12*F6:F12/2)/SQRT((1-0.3)*SUMPRODUCT((K6:K12/100)^2, (F6:F12/2)^2) + 0.3*(SUMPRODUCT(K6:K12/100, F6:F12/2))^2)</f>
        <v>4.810284276229007</v>
      </c>
      <c r="C22" s="9">
        <f>SUMPRODUCT(K6:K12/100, E6:E12)</f>
        <v>13.387676362551067</v>
      </c>
      <c r="D22" s="9">
        <f>SUMPRODUCT(K6:K12/100, D6:D12)</f>
        <v>105.51559815172395</v>
      </c>
      <c r="E22" s="18" t="s">
        <v>197</v>
      </c>
    </row>
  </sheetData>
  <mergeCells count="4">
    <mergeCell ref="A16:E16"/>
    <mergeCell ref="A2:L2"/>
    <mergeCell ref="A1:L1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opLeftCell="A9" workbookViewId="0">
      <selection activeCell="D39" sqref="D39"/>
    </sheetView>
  </sheetViews>
  <sheetFormatPr baseColWidth="10" defaultColWidth="8.83203125" defaultRowHeight="15" x14ac:dyDescent="0.2"/>
  <cols>
    <col min="1" max="1" width="30" customWidth="1"/>
    <col min="2" max="3" width="18" customWidth="1"/>
    <col min="4" max="6" width="16" customWidth="1"/>
    <col min="7" max="10" width="12" customWidth="1"/>
  </cols>
  <sheetData>
    <row r="1" spans="1:10" ht="24" x14ac:dyDescent="0.2">
      <c r="A1" s="37" t="s">
        <v>0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x14ac:dyDescent="0.2">
      <c r="A3" s="40" t="s">
        <v>1</v>
      </c>
      <c r="B3" s="40"/>
      <c r="C3" s="40"/>
      <c r="D3" s="40"/>
      <c r="E3" s="40"/>
      <c r="F3" s="40"/>
      <c r="G3" s="40"/>
      <c r="H3" s="40"/>
      <c r="I3" s="40"/>
      <c r="J3" s="40"/>
    </row>
    <row r="4" spans="1:10" x14ac:dyDescent="0.2">
      <c r="A4" s="5" t="s">
        <v>2</v>
      </c>
      <c r="B4" s="6" t="s">
        <v>3</v>
      </c>
    </row>
    <row r="6" spans="1:10" x14ac:dyDescent="0.2">
      <c r="A6" s="5" t="s">
        <v>4</v>
      </c>
    </row>
    <row r="7" spans="1:10" x14ac:dyDescent="0.2">
      <c r="A7" t="s">
        <v>5</v>
      </c>
      <c r="B7" s="7" t="s">
        <v>6</v>
      </c>
    </row>
    <row r="8" spans="1:10" x14ac:dyDescent="0.2">
      <c r="A8" t="s">
        <v>7</v>
      </c>
      <c r="B8" s="7" t="s">
        <v>8</v>
      </c>
    </row>
    <row r="9" spans="1:10" x14ac:dyDescent="0.2">
      <c r="A9" t="s">
        <v>9</v>
      </c>
      <c r="B9" s="7" t="s">
        <v>8</v>
      </c>
    </row>
    <row r="10" spans="1:10" x14ac:dyDescent="0.2">
      <c r="A10" t="s">
        <v>10</v>
      </c>
      <c r="B10" s="7" t="s">
        <v>11</v>
      </c>
    </row>
    <row r="11" spans="1:10" x14ac:dyDescent="0.2">
      <c r="A11" t="s">
        <v>12</v>
      </c>
      <c r="B11" s="7" t="s">
        <v>8</v>
      </c>
    </row>
    <row r="12" spans="1:10" x14ac:dyDescent="0.2">
      <c r="A12" t="s">
        <v>13</v>
      </c>
      <c r="B12" s="7" t="s">
        <v>8</v>
      </c>
    </row>
    <row r="13" spans="1:10" x14ac:dyDescent="0.2">
      <c r="A13" t="s">
        <v>14</v>
      </c>
      <c r="B13" s="7" t="s">
        <v>15</v>
      </c>
    </row>
    <row r="16" spans="1:10" x14ac:dyDescent="0.2">
      <c r="A16" s="38" t="s">
        <v>16</v>
      </c>
      <c r="B16" s="38"/>
      <c r="C16" s="38"/>
      <c r="D16" s="38"/>
      <c r="E16" s="38"/>
      <c r="F16" s="38"/>
      <c r="G16" s="38"/>
      <c r="H16" s="38"/>
      <c r="I16" s="38"/>
      <c r="J16" s="38"/>
    </row>
    <row r="17" spans="1:10" x14ac:dyDescent="0.2">
      <c r="A17" s="42" t="s">
        <v>17</v>
      </c>
      <c r="B17" s="21"/>
      <c r="C17" s="21"/>
      <c r="D17" s="21"/>
      <c r="E17" s="21"/>
      <c r="F17" s="21"/>
      <c r="G17" s="21"/>
      <c r="H17" s="21"/>
      <c r="I17" s="21"/>
      <c r="J17" s="21"/>
    </row>
    <row r="18" spans="1:10" x14ac:dyDescent="0.2">
      <c r="A18" s="8" t="s">
        <v>18</v>
      </c>
      <c r="B18" s="8" t="s">
        <v>19</v>
      </c>
      <c r="C18" s="8" t="s">
        <v>20</v>
      </c>
      <c r="D18" s="8" t="s">
        <v>21</v>
      </c>
      <c r="E18" s="8" t="s">
        <v>22</v>
      </c>
      <c r="F18" s="8" t="s">
        <v>23</v>
      </c>
      <c r="G18" s="8" t="s">
        <v>24</v>
      </c>
      <c r="H18" s="8" t="s">
        <v>25</v>
      </c>
      <c r="I18" s="8" t="s">
        <v>26</v>
      </c>
      <c r="J18" s="8" t="s">
        <v>27</v>
      </c>
    </row>
    <row r="19" spans="1:10" x14ac:dyDescent="0.2">
      <c r="A19" s="9" t="s">
        <v>28</v>
      </c>
      <c r="B19" s="9" t="s">
        <v>6</v>
      </c>
      <c r="C19" s="9">
        <v>2</v>
      </c>
      <c r="D19" s="9">
        <v>0.5867</v>
      </c>
      <c r="E19" s="9">
        <v>19.170000000000002</v>
      </c>
      <c r="F19" s="9">
        <f t="shared" ref="F19:F25" si="0">IF(G19&gt;0, (H19/G19)*100, 0)</f>
        <v>171.25225225225225</v>
      </c>
      <c r="G19" s="9">
        <v>2664</v>
      </c>
      <c r="H19" s="9">
        <v>4562.16</v>
      </c>
      <c r="I19" s="9">
        <v>1332</v>
      </c>
      <c r="J19" s="9">
        <v>5.7</v>
      </c>
    </row>
    <row r="20" spans="1:10" x14ac:dyDescent="0.2">
      <c r="A20" s="9" t="s">
        <v>29</v>
      </c>
      <c r="B20" s="9" t="s">
        <v>8</v>
      </c>
      <c r="C20" s="9">
        <v>2</v>
      </c>
      <c r="D20" s="9">
        <v>0.25750000000000001</v>
      </c>
      <c r="E20" s="9">
        <v>20.76</v>
      </c>
      <c r="F20" s="9">
        <f t="shared" si="0"/>
        <v>138.20199063231848</v>
      </c>
      <c r="G20" s="9">
        <v>6832</v>
      </c>
      <c r="H20" s="9">
        <v>9441.9599999999991</v>
      </c>
      <c r="I20" s="9">
        <v>3416</v>
      </c>
      <c r="J20" s="9">
        <v>4.8899999999999997</v>
      </c>
    </row>
    <row r="21" spans="1:10" x14ac:dyDescent="0.2">
      <c r="A21" s="9" t="s">
        <v>30</v>
      </c>
      <c r="B21" s="9" t="s">
        <v>8</v>
      </c>
      <c r="C21" s="9">
        <v>8</v>
      </c>
      <c r="D21" s="9">
        <v>1.9656</v>
      </c>
      <c r="E21" s="9">
        <v>22.48</v>
      </c>
      <c r="F21" s="9">
        <f t="shared" si="0"/>
        <v>124.06291178795981</v>
      </c>
      <c r="G21" s="9">
        <v>5312.2</v>
      </c>
      <c r="H21" s="9">
        <v>6590.47</v>
      </c>
      <c r="I21" s="9">
        <v>2656.1</v>
      </c>
      <c r="J21" s="9">
        <v>5.22</v>
      </c>
    </row>
    <row r="22" spans="1:10" x14ac:dyDescent="0.2">
      <c r="A22" s="9" t="s">
        <v>31</v>
      </c>
      <c r="B22" s="9" t="s">
        <v>11</v>
      </c>
      <c r="C22" s="9">
        <v>6</v>
      </c>
      <c r="D22" s="9">
        <v>1.2051000000000001</v>
      </c>
      <c r="E22" s="9">
        <v>13.34</v>
      </c>
      <c r="F22" s="9">
        <f t="shared" si="0"/>
        <v>79.717530576587066</v>
      </c>
      <c r="G22" s="9">
        <v>206.04</v>
      </c>
      <c r="H22" s="9">
        <v>164.25</v>
      </c>
      <c r="I22" s="9">
        <v>103.02</v>
      </c>
      <c r="J22" s="9">
        <v>5.91</v>
      </c>
    </row>
    <row r="23" spans="1:10" x14ac:dyDescent="0.2">
      <c r="A23" s="9" t="s">
        <v>32</v>
      </c>
      <c r="B23" s="9" t="s">
        <v>8</v>
      </c>
      <c r="C23" s="9">
        <v>15</v>
      </c>
      <c r="D23" s="9">
        <v>0.98029999999999995</v>
      </c>
      <c r="E23" s="9">
        <v>9.86</v>
      </c>
      <c r="F23" s="9">
        <f t="shared" si="0"/>
        <v>35.247574338130235</v>
      </c>
      <c r="G23" s="9">
        <v>15494.74</v>
      </c>
      <c r="H23" s="9">
        <v>5461.52</v>
      </c>
      <c r="I23" s="9">
        <v>7747.37</v>
      </c>
      <c r="J23" s="9">
        <v>5.53</v>
      </c>
    </row>
    <row r="24" spans="1:10" x14ac:dyDescent="0.2">
      <c r="A24" s="9" t="s">
        <v>33</v>
      </c>
      <c r="B24" s="9" t="s">
        <v>8</v>
      </c>
      <c r="C24" s="9">
        <v>2</v>
      </c>
      <c r="D24" s="9">
        <v>2.4462999999999999</v>
      </c>
      <c r="E24" s="9">
        <v>15.28</v>
      </c>
      <c r="F24" s="9">
        <f t="shared" si="0"/>
        <v>137.60088372554858</v>
      </c>
      <c r="G24" s="9">
        <v>20142</v>
      </c>
      <c r="H24" s="9">
        <v>27715.57</v>
      </c>
      <c r="I24" s="9">
        <v>10071</v>
      </c>
      <c r="J24" s="9">
        <v>5.73</v>
      </c>
    </row>
    <row r="25" spans="1:10" x14ac:dyDescent="0.2">
      <c r="A25" s="9" t="s">
        <v>34</v>
      </c>
      <c r="B25" s="9" t="s">
        <v>15</v>
      </c>
      <c r="C25" s="9">
        <v>5</v>
      </c>
      <c r="D25" s="9">
        <v>1.1173</v>
      </c>
      <c r="E25" s="9">
        <v>15.2</v>
      </c>
      <c r="F25" s="9">
        <f t="shared" si="0"/>
        <v>143.65785945263823</v>
      </c>
      <c r="G25" s="9">
        <v>25358</v>
      </c>
      <c r="H25" s="9">
        <v>36428.76</v>
      </c>
      <c r="I25" s="9">
        <v>12679</v>
      </c>
      <c r="J25" s="9">
        <v>5.68</v>
      </c>
    </row>
    <row r="26" spans="1:10" x14ac:dyDescent="0.2">
      <c r="A26" s="10" t="s">
        <v>35</v>
      </c>
      <c r="B26" s="10"/>
      <c r="C26" s="10">
        <f>SUM(C19:C25)</f>
        <v>40</v>
      </c>
      <c r="D26" s="10"/>
      <c r="E26" s="10"/>
      <c r="F26" s="10"/>
      <c r="G26" s="10">
        <f>SUM(G19:G25)</f>
        <v>76008.98000000001</v>
      </c>
      <c r="H26" s="10">
        <f>SUM(H19:H25)</f>
        <v>90364.69</v>
      </c>
      <c r="I26" s="10">
        <f>SUM(I19:I25)</f>
        <v>38004.490000000005</v>
      </c>
      <c r="J26" s="10"/>
    </row>
    <row r="29" spans="1:10" x14ac:dyDescent="0.2">
      <c r="A29" s="43" t="s">
        <v>36</v>
      </c>
      <c r="B29" s="43"/>
      <c r="C29" s="43"/>
      <c r="D29" s="43"/>
      <c r="E29" s="43"/>
      <c r="F29" s="43"/>
      <c r="G29" s="43"/>
      <c r="H29" s="43"/>
      <c r="I29" s="43"/>
      <c r="J29" s="43"/>
    </row>
    <row r="30" spans="1:10" x14ac:dyDescent="0.2">
      <c r="A30" s="42" t="s">
        <v>37</v>
      </c>
      <c r="B30" s="21"/>
      <c r="C30" s="21"/>
      <c r="D30" s="21"/>
      <c r="E30" s="21"/>
      <c r="F30" s="21"/>
      <c r="G30" s="21"/>
      <c r="H30" s="21"/>
      <c r="I30" s="21"/>
      <c r="J30" s="21"/>
    </row>
    <row r="31" spans="1:10" x14ac:dyDescent="0.2">
      <c r="A31" s="8" t="s">
        <v>18</v>
      </c>
      <c r="B31" s="8" t="s">
        <v>38</v>
      </c>
      <c r="C31" s="8" t="s">
        <v>39</v>
      </c>
      <c r="D31" s="8" t="s">
        <v>40</v>
      </c>
      <c r="E31" s="8" t="s">
        <v>41</v>
      </c>
      <c r="F31" s="8" t="s">
        <v>42</v>
      </c>
      <c r="G31" s="8" t="s">
        <v>21</v>
      </c>
      <c r="H31" s="8" t="s">
        <v>22</v>
      </c>
    </row>
    <row r="32" spans="1:10" x14ac:dyDescent="0.2">
      <c r="A32" s="9" t="s">
        <v>28</v>
      </c>
      <c r="B32" s="9">
        <f t="shared" ref="B32:B38" si="1">100/7</f>
        <v>14.285714285714286</v>
      </c>
      <c r="C32" s="9">
        <f t="shared" ref="C32:C38" si="2">(B32/100)*$G$26</f>
        <v>10858.425714285717</v>
      </c>
      <c r="D32" s="9">
        <f t="shared" ref="D32:D38" si="3">G19</f>
        <v>2664</v>
      </c>
      <c r="E32" s="9">
        <f t="shared" ref="E32:E38" si="4">F19</f>
        <v>171.25225225225225</v>
      </c>
      <c r="F32" s="9">
        <f t="shared" ref="F32:F38" si="5">C32*(E32/100)</f>
        <v>18595.298594852</v>
      </c>
      <c r="G32" s="9">
        <f t="shared" ref="G32:H38" si="6">D19</f>
        <v>0.5867</v>
      </c>
      <c r="H32" s="9">
        <f t="shared" si="6"/>
        <v>19.170000000000002</v>
      </c>
    </row>
    <row r="33" spans="1:8" x14ac:dyDescent="0.2">
      <c r="A33" s="9" t="s">
        <v>29</v>
      </c>
      <c r="B33" s="9">
        <f t="shared" si="1"/>
        <v>14.285714285714286</v>
      </c>
      <c r="C33" s="9">
        <f t="shared" si="2"/>
        <v>10858.425714285717</v>
      </c>
      <c r="D33" s="9">
        <f t="shared" si="3"/>
        <v>6832</v>
      </c>
      <c r="E33" s="9">
        <f t="shared" si="4"/>
        <v>138.20199063231848</v>
      </c>
      <c r="F33" s="9">
        <f t="shared" si="5"/>
        <v>15006.560488474408</v>
      </c>
      <c r="G33" s="9">
        <f t="shared" si="6"/>
        <v>0.25750000000000001</v>
      </c>
      <c r="H33" s="9">
        <f t="shared" si="6"/>
        <v>20.76</v>
      </c>
    </row>
    <row r="34" spans="1:8" x14ac:dyDescent="0.2">
      <c r="A34" s="9" t="s">
        <v>30</v>
      </c>
      <c r="B34" s="9">
        <f t="shared" si="1"/>
        <v>14.285714285714286</v>
      </c>
      <c r="C34" s="9">
        <f t="shared" si="2"/>
        <v>10858.425714285717</v>
      </c>
      <c r="D34" s="9">
        <f t="shared" si="3"/>
        <v>5312.2</v>
      </c>
      <c r="E34" s="9">
        <f t="shared" si="4"/>
        <v>124.06291178795981</v>
      </c>
      <c r="F34" s="9">
        <f t="shared" si="5"/>
        <v>13471.279115475434</v>
      </c>
      <c r="G34" s="9">
        <f t="shared" si="6"/>
        <v>1.9656</v>
      </c>
      <c r="H34" s="9">
        <f t="shared" si="6"/>
        <v>22.48</v>
      </c>
    </row>
    <row r="35" spans="1:8" x14ac:dyDescent="0.2">
      <c r="A35" s="9" t="s">
        <v>31</v>
      </c>
      <c r="B35" s="9">
        <f t="shared" si="1"/>
        <v>14.285714285714286</v>
      </c>
      <c r="C35" s="9">
        <f t="shared" si="2"/>
        <v>10858.425714285717</v>
      </c>
      <c r="D35" s="9">
        <f t="shared" si="3"/>
        <v>206.04</v>
      </c>
      <c r="E35" s="9">
        <f t="shared" si="4"/>
        <v>79.717530576587066</v>
      </c>
      <c r="F35" s="9">
        <f t="shared" si="5"/>
        <v>8656.0688389217084</v>
      </c>
      <c r="G35" s="9">
        <f t="shared" si="6"/>
        <v>1.2051000000000001</v>
      </c>
      <c r="H35" s="9">
        <f t="shared" si="6"/>
        <v>13.34</v>
      </c>
    </row>
    <row r="36" spans="1:8" x14ac:dyDescent="0.2">
      <c r="A36" s="9" t="s">
        <v>32</v>
      </c>
      <c r="B36" s="9">
        <f t="shared" si="1"/>
        <v>14.285714285714286</v>
      </c>
      <c r="C36" s="9">
        <f t="shared" si="2"/>
        <v>10858.425714285717</v>
      </c>
      <c r="D36" s="9">
        <f t="shared" si="3"/>
        <v>15494.74</v>
      </c>
      <c r="E36" s="9">
        <f t="shared" si="4"/>
        <v>35.247574338130235</v>
      </c>
      <c r="F36" s="9">
        <f t="shared" si="5"/>
        <v>3827.3316755935066</v>
      </c>
      <c r="G36" s="9">
        <f t="shared" si="6"/>
        <v>0.98029999999999995</v>
      </c>
      <c r="H36" s="9">
        <f t="shared" si="6"/>
        <v>9.86</v>
      </c>
    </row>
    <row r="37" spans="1:8" x14ac:dyDescent="0.2">
      <c r="A37" s="9" t="s">
        <v>33</v>
      </c>
      <c r="B37" s="9">
        <f t="shared" si="1"/>
        <v>14.285714285714286</v>
      </c>
      <c r="C37" s="9">
        <f t="shared" si="2"/>
        <v>10858.425714285717</v>
      </c>
      <c r="D37" s="9">
        <f t="shared" si="3"/>
        <v>20142</v>
      </c>
      <c r="E37" s="9">
        <f t="shared" si="4"/>
        <v>137.60088372554858</v>
      </c>
      <c r="F37" s="9">
        <f t="shared" si="5"/>
        <v>14941.289741539358</v>
      </c>
      <c r="G37" s="9">
        <f t="shared" si="6"/>
        <v>2.4462999999999999</v>
      </c>
      <c r="H37" s="9">
        <f t="shared" si="6"/>
        <v>15.28</v>
      </c>
    </row>
    <row r="38" spans="1:8" x14ac:dyDescent="0.2">
      <c r="A38" s="9" t="s">
        <v>34</v>
      </c>
      <c r="B38" s="9">
        <f t="shared" si="1"/>
        <v>14.285714285714286</v>
      </c>
      <c r="C38" s="9">
        <f t="shared" si="2"/>
        <v>10858.425714285717</v>
      </c>
      <c r="D38" s="9">
        <f t="shared" si="3"/>
        <v>25358</v>
      </c>
      <c r="E38" s="9">
        <f t="shared" si="4"/>
        <v>143.65785945263823</v>
      </c>
      <c r="F38" s="9">
        <f t="shared" si="5"/>
        <v>15598.981951397704</v>
      </c>
      <c r="G38" s="9">
        <f t="shared" si="6"/>
        <v>1.1173</v>
      </c>
      <c r="H38" s="9">
        <f t="shared" si="6"/>
        <v>15.2</v>
      </c>
    </row>
    <row r="39" spans="1:8" x14ac:dyDescent="0.2">
      <c r="A39" s="10" t="s">
        <v>35</v>
      </c>
      <c r="B39" s="10">
        <f>SUM(B32:B38)</f>
        <v>100.00000000000001</v>
      </c>
      <c r="C39" s="10">
        <f>SUM(C32:C38)</f>
        <v>76008.98000000001</v>
      </c>
      <c r="D39" s="10">
        <f>SUM(D32:D38)</f>
        <v>76008.98000000001</v>
      </c>
      <c r="E39" s="10"/>
      <c r="F39" s="10"/>
      <c r="G39" s="10"/>
      <c r="H39" s="10"/>
    </row>
    <row r="42" spans="1:8" x14ac:dyDescent="0.2">
      <c r="A42" s="40" t="s">
        <v>43</v>
      </c>
      <c r="B42" s="40"/>
      <c r="C42" s="40"/>
      <c r="D42" s="40"/>
      <c r="E42" s="40"/>
      <c r="F42" s="40"/>
    </row>
    <row r="43" spans="1:8" x14ac:dyDescent="0.2">
      <c r="A43" s="11" t="s">
        <v>44</v>
      </c>
      <c r="B43" s="9">
        <f>C26</f>
        <v>40</v>
      </c>
      <c r="C43" s="9"/>
    </row>
    <row r="44" spans="1:8" x14ac:dyDescent="0.2">
      <c r="A44" s="9"/>
      <c r="B44" s="9"/>
      <c r="C44" s="9"/>
    </row>
    <row r="45" spans="1:8" x14ac:dyDescent="0.2">
      <c r="A45" s="11" t="s">
        <v>45</v>
      </c>
      <c r="B45" s="14">
        <f>G26</f>
        <v>76008.98000000001</v>
      </c>
      <c r="C45" s="9"/>
    </row>
    <row r="46" spans="1:8" x14ac:dyDescent="0.2">
      <c r="A46" s="11" t="s">
        <v>46</v>
      </c>
      <c r="B46" s="14">
        <f>I26</f>
        <v>38004.490000000005</v>
      </c>
      <c r="C46" s="9"/>
    </row>
    <row r="47" spans="1:8" x14ac:dyDescent="0.2">
      <c r="A47" s="9"/>
      <c r="B47" s="9"/>
      <c r="C47" s="9"/>
    </row>
    <row r="48" spans="1:8" ht="19" x14ac:dyDescent="0.25">
      <c r="A48" s="11" t="s">
        <v>47</v>
      </c>
      <c r="B48" s="12">
        <f>SUMPRODUCT(B32:B38/100, G32:G38*(D32:D38/2))/SQRT((1-0.3)*SUMPRODUCT((B32:B38/100)^2, (D32:D38/2)^2)+0.3*(SUMPRODUCT(B32:B38/100, D32:D38/2))^2)</f>
        <v>2.0582562259444264</v>
      </c>
      <c r="C48" s="13" t="s">
        <v>48</v>
      </c>
    </row>
    <row r="49" spans="1:10" ht="19" x14ac:dyDescent="0.25">
      <c r="A49" s="11" t="s">
        <v>49</v>
      </c>
      <c r="B49" s="15">
        <f>SUMPRODUCT(B32:B38/100, H32:H38)</f>
        <v>16.584285714285716</v>
      </c>
      <c r="C49" s="13" t="s">
        <v>48</v>
      </c>
    </row>
    <row r="50" spans="1:10" x14ac:dyDescent="0.2">
      <c r="A50" s="11" t="s">
        <v>50</v>
      </c>
      <c r="B50" s="16">
        <f>SUMPRODUCT(B32:B38/100, E32:E38)</f>
        <v>118.53442896649068</v>
      </c>
      <c r="C50" s="9"/>
    </row>
    <row r="51" spans="1:10" x14ac:dyDescent="0.2">
      <c r="A51" s="9"/>
      <c r="B51" s="9"/>
      <c r="C51" s="9"/>
    </row>
    <row r="52" spans="1:10" x14ac:dyDescent="0.2">
      <c r="A52" s="11" t="s">
        <v>51</v>
      </c>
      <c r="B52" s="14">
        <f>H26</f>
        <v>90364.69</v>
      </c>
      <c r="C52" s="9"/>
    </row>
    <row r="53" spans="1:10" x14ac:dyDescent="0.2">
      <c r="A53" s="11" t="s">
        <v>52</v>
      </c>
      <c r="B53" s="16">
        <f>IF(G26&gt;0, (H26/G26)*100, 0)</f>
        <v>118.88686047359141</v>
      </c>
      <c r="C53" s="9"/>
    </row>
    <row r="57" spans="1:10" x14ac:dyDescent="0.2">
      <c r="A57" s="41" t="s">
        <v>53</v>
      </c>
      <c r="B57" s="41"/>
      <c r="C57" s="41"/>
      <c r="D57" s="41"/>
      <c r="E57" s="41"/>
      <c r="F57" s="41"/>
      <c r="G57" s="41"/>
      <c r="H57" s="41"/>
      <c r="I57" s="41"/>
      <c r="J57" s="41"/>
    </row>
    <row r="58" spans="1:10" x14ac:dyDescent="0.2">
      <c r="A58" s="44" t="s">
        <v>54</v>
      </c>
      <c r="B58" s="21"/>
      <c r="C58" s="21"/>
      <c r="D58" s="21"/>
      <c r="E58" s="21"/>
      <c r="F58" s="21"/>
      <c r="G58" s="21"/>
      <c r="H58" s="21"/>
      <c r="I58" s="21"/>
      <c r="J58" s="21"/>
    </row>
    <row r="59" spans="1:10" x14ac:dyDescent="0.2">
      <c r="A59" s="34" t="s">
        <v>55</v>
      </c>
      <c r="B59" s="21"/>
      <c r="C59" s="21"/>
      <c r="D59" s="21"/>
      <c r="E59" s="21"/>
      <c r="F59" s="21"/>
      <c r="G59" s="21"/>
      <c r="H59" s="21"/>
      <c r="I59" s="21"/>
      <c r="J59" s="21"/>
    </row>
    <row r="61" spans="1:10" x14ac:dyDescent="0.2">
      <c r="A61" s="36" t="s">
        <v>56</v>
      </c>
      <c r="B61" s="21"/>
      <c r="C61" s="21"/>
      <c r="D61" s="21"/>
      <c r="E61" s="21"/>
      <c r="F61" s="21"/>
      <c r="G61" s="21"/>
      <c r="H61" s="21"/>
      <c r="I61" s="21"/>
      <c r="J61" s="21"/>
    </row>
    <row r="62" spans="1:10" x14ac:dyDescent="0.2">
      <c r="A62" s="36" t="s">
        <v>57</v>
      </c>
      <c r="B62" s="21"/>
      <c r="C62" s="21"/>
      <c r="D62" s="21"/>
      <c r="E62" s="21"/>
      <c r="F62" s="21"/>
      <c r="G62" s="21"/>
      <c r="H62" s="21"/>
      <c r="I62" s="21"/>
      <c r="J62" s="21"/>
    </row>
    <row r="63" spans="1:10" x14ac:dyDescent="0.2">
      <c r="A63" s="36" t="s">
        <v>58</v>
      </c>
      <c r="B63" s="21"/>
      <c r="C63" s="21"/>
      <c r="D63" s="21"/>
      <c r="E63" s="21"/>
      <c r="F63" s="21"/>
      <c r="G63" s="21"/>
      <c r="H63" s="21"/>
      <c r="I63" s="21"/>
      <c r="J63" s="21"/>
    </row>
    <row r="64" spans="1:10" x14ac:dyDescent="0.2">
      <c r="A64" s="36" t="s">
        <v>59</v>
      </c>
      <c r="B64" s="21"/>
      <c r="C64" s="21"/>
      <c r="D64" s="21"/>
      <c r="E64" s="21"/>
      <c r="F64" s="21"/>
      <c r="G64" s="21"/>
      <c r="H64" s="21"/>
      <c r="I64" s="21"/>
      <c r="J64" s="21"/>
    </row>
    <row r="65" spans="1:10" x14ac:dyDescent="0.2">
      <c r="A65" s="36" t="s">
        <v>60</v>
      </c>
      <c r="B65" s="21"/>
      <c r="C65" s="21"/>
      <c r="D65" s="21"/>
      <c r="E65" s="21"/>
      <c r="F65" s="21"/>
      <c r="G65" s="21"/>
      <c r="H65" s="21"/>
      <c r="I65" s="21"/>
      <c r="J65" s="21"/>
    </row>
    <row r="66" spans="1:10" x14ac:dyDescent="0.2">
      <c r="A66" s="35"/>
      <c r="B66" s="21"/>
      <c r="C66" s="21"/>
      <c r="D66" s="21"/>
      <c r="E66" s="21"/>
      <c r="F66" s="21"/>
      <c r="G66" s="21"/>
      <c r="H66" s="21"/>
      <c r="I66" s="21"/>
      <c r="J66" s="21"/>
    </row>
    <row r="67" spans="1:10" x14ac:dyDescent="0.2">
      <c r="A67" s="39" t="s">
        <v>61</v>
      </c>
      <c r="B67" s="21"/>
      <c r="C67" s="21"/>
      <c r="D67" s="21"/>
      <c r="E67" s="21"/>
      <c r="F67" s="21"/>
      <c r="G67" s="21"/>
      <c r="H67" s="21"/>
      <c r="I67" s="21"/>
      <c r="J67" s="21"/>
    </row>
    <row r="68" spans="1:10" x14ac:dyDescent="0.2">
      <c r="A68" s="33" t="s">
        <v>62</v>
      </c>
      <c r="B68" s="21"/>
      <c r="C68" s="21"/>
      <c r="D68" s="21"/>
      <c r="E68" s="21"/>
      <c r="F68" s="21"/>
      <c r="G68" s="21"/>
      <c r="H68" s="21"/>
      <c r="I68" s="21"/>
      <c r="J68" s="21"/>
    </row>
    <row r="69" spans="1:10" x14ac:dyDescent="0.2">
      <c r="A69" s="33" t="s">
        <v>63</v>
      </c>
      <c r="B69" s="21"/>
      <c r="C69" s="21"/>
      <c r="D69" s="21"/>
      <c r="E69" s="21"/>
      <c r="F69" s="21"/>
      <c r="G69" s="21"/>
      <c r="H69" s="21"/>
      <c r="I69" s="21"/>
      <c r="J69" s="21"/>
    </row>
    <row r="70" spans="1:10" x14ac:dyDescent="0.2">
      <c r="A70" s="33" t="s">
        <v>64</v>
      </c>
      <c r="B70" s="21"/>
      <c r="C70" s="21"/>
      <c r="D70" s="21"/>
      <c r="E70" s="21"/>
      <c r="F70" s="21"/>
      <c r="G70" s="21"/>
      <c r="H70" s="21"/>
      <c r="I70" s="21"/>
      <c r="J70" s="21"/>
    </row>
    <row r="71" spans="1:10" x14ac:dyDescent="0.2">
      <c r="A71" s="33" t="s">
        <v>65</v>
      </c>
      <c r="B71" s="21"/>
      <c r="C71" s="21"/>
      <c r="D71" s="21"/>
      <c r="E71" s="21"/>
      <c r="F71" s="21"/>
      <c r="G71" s="21"/>
      <c r="H71" s="21"/>
      <c r="I71" s="21"/>
      <c r="J71" s="21"/>
    </row>
    <row r="72" spans="1:10" x14ac:dyDescent="0.2">
      <c r="A72" s="33" t="s">
        <v>66</v>
      </c>
      <c r="B72" s="21"/>
      <c r="C72" s="21"/>
      <c r="D72" s="21"/>
      <c r="E72" s="21"/>
      <c r="F72" s="21"/>
      <c r="G72" s="21"/>
      <c r="H72" s="21"/>
      <c r="I72" s="21"/>
      <c r="J72" s="21"/>
    </row>
    <row r="73" spans="1:10" x14ac:dyDescent="0.2">
      <c r="A73" s="35"/>
      <c r="B73" s="21"/>
      <c r="C73" s="21"/>
      <c r="D73" s="21"/>
      <c r="E73" s="21"/>
      <c r="F73" s="21"/>
      <c r="G73" s="21"/>
      <c r="H73" s="21"/>
      <c r="I73" s="21"/>
      <c r="J73" s="21"/>
    </row>
    <row r="74" spans="1:10" x14ac:dyDescent="0.2">
      <c r="A74" s="39" t="s">
        <v>67</v>
      </c>
      <c r="B74" s="21"/>
      <c r="C74" s="21"/>
      <c r="D74" s="21"/>
      <c r="E74" s="21"/>
      <c r="F74" s="21"/>
      <c r="G74" s="21"/>
      <c r="H74" s="21"/>
      <c r="I74" s="21"/>
      <c r="J74" s="21"/>
    </row>
    <row r="75" spans="1:10" x14ac:dyDescent="0.2">
      <c r="A75" s="33" t="s">
        <v>68</v>
      </c>
      <c r="B75" s="21"/>
      <c r="C75" s="21"/>
      <c r="D75" s="21"/>
      <c r="E75" s="21"/>
      <c r="F75" s="21"/>
      <c r="G75" s="21"/>
      <c r="H75" s="21"/>
      <c r="I75" s="21"/>
      <c r="J75" s="21"/>
    </row>
    <row r="76" spans="1:10" x14ac:dyDescent="0.2">
      <c r="A76" s="33" t="s">
        <v>69</v>
      </c>
      <c r="B76" s="21"/>
      <c r="C76" s="21"/>
      <c r="D76" s="21"/>
      <c r="E76" s="21"/>
      <c r="F76" s="21"/>
      <c r="G76" s="21"/>
      <c r="H76" s="21"/>
      <c r="I76" s="21"/>
      <c r="J76" s="21"/>
    </row>
    <row r="77" spans="1:10" x14ac:dyDescent="0.2">
      <c r="A77" s="33" t="s">
        <v>70</v>
      </c>
      <c r="B77" s="21"/>
      <c r="C77" s="21"/>
      <c r="D77" s="21"/>
      <c r="E77" s="21"/>
      <c r="F77" s="21"/>
      <c r="G77" s="21"/>
      <c r="H77" s="21"/>
      <c r="I77" s="21"/>
      <c r="J77" s="21"/>
    </row>
  </sheetData>
  <mergeCells count="27">
    <mergeCell ref="A17:J17"/>
    <mergeCell ref="A62:J62"/>
    <mergeCell ref="A29:J29"/>
    <mergeCell ref="A72:J72"/>
    <mergeCell ref="A68:J68"/>
    <mergeCell ref="A63:J63"/>
    <mergeCell ref="A42:F42"/>
    <mergeCell ref="A58:J58"/>
    <mergeCell ref="A67:J67"/>
    <mergeCell ref="A30:J30"/>
    <mergeCell ref="A71:J71"/>
    <mergeCell ref="A77:J77"/>
    <mergeCell ref="A59:J59"/>
    <mergeCell ref="A73:J73"/>
    <mergeCell ref="A64:J64"/>
    <mergeCell ref="A1:J1"/>
    <mergeCell ref="A61:J61"/>
    <mergeCell ref="A70:J70"/>
    <mergeCell ref="A69:J69"/>
    <mergeCell ref="A65:J65"/>
    <mergeCell ref="A16:J16"/>
    <mergeCell ref="A66:J66"/>
    <mergeCell ref="A75:J75"/>
    <mergeCell ref="A74:J74"/>
    <mergeCell ref="A3:J3"/>
    <mergeCell ref="A57:J57"/>
    <mergeCell ref="A76:J7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Strategy_Statistics</vt:lpstr>
      <vt:lpstr>Pair_Capital_Distribution</vt:lpstr>
      <vt:lpstr>Strategy_Capital_Distribution</vt:lpstr>
      <vt:lpstr>Final_Portfolio_Analysis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Gautam Katwe</cp:lastModifiedBy>
  <dcterms:created xsi:type="dcterms:W3CDTF">2025-12-31T19:45:30Z</dcterms:created>
  <dcterms:modified xsi:type="dcterms:W3CDTF">2026-01-01T18:34:25Z</dcterms:modified>
</cp:coreProperties>
</file>