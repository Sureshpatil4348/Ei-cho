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sureshpatil/Desktop/Portfolio Creation/"/>
    </mc:Choice>
  </mc:AlternateContent>
  <xr:revisionPtr revIDLastSave="0" documentId="13_ncr:1_{25B5CAC4-B8A2-B840-81EC-96AFA2FF87AE}" xr6:coauthVersionLast="47" xr6:coauthVersionMax="47" xr10:uidLastSave="{00000000-0000-0000-0000-000000000000}"/>
  <bookViews>
    <workbookView xWindow="980" yWindow="-19100" windowWidth="28800" windowHeight="17380" xr2:uid="{00000000-000D-0000-FFFF-FFFF00000000}"/>
  </bookViews>
  <sheets>
    <sheet name="Yearly Returns 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H8" i="1" s="1"/>
  <c r="D22" i="1" s="1"/>
  <c r="B54" i="1"/>
  <c r="F52" i="1"/>
  <c r="B52" i="1"/>
  <c r="B50" i="1"/>
  <c r="F48" i="1"/>
  <c r="B48" i="1"/>
  <c r="F41" i="1"/>
  <c r="E41" i="1"/>
  <c r="D41" i="1"/>
  <c r="C41" i="1"/>
  <c r="B41" i="1"/>
  <c r="F40" i="1"/>
  <c r="E40" i="1"/>
  <c r="D40" i="1"/>
  <c r="C40" i="1"/>
  <c r="B40" i="1"/>
  <c r="F39" i="1"/>
  <c r="E39" i="1"/>
  <c r="D39" i="1"/>
  <c r="C39" i="1"/>
  <c r="B39" i="1"/>
  <c r="F38" i="1"/>
  <c r="E38" i="1"/>
  <c r="D38" i="1"/>
  <c r="C38" i="1"/>
  <c r="B38" i="1"/>
  <c r="F37" i="1"/>
  <c r="E37" i="1"/>
  <c r="D37" i="1"/>
  <c r="C37" i="1"/>
  <c r="B37" i="1"/>
  <c r="F36" i="1"/>
  <c r="E36" i="1"/>
  <c r="D36" i="1"/>
  <c r="C36" i="1"/>
  <c r="B36" i="1"/>
  <c r="E35" i="1"/>
  <c r="D35" i="1"/>
  <c r="C35" i="1"/>
  <c r="B35" i="1"/>
  <c r="F34" i="1"/>
  <c r="E34" i="1"/>
  <c r="D34" i="1"/>
  <c r="C34" i="1"/>
  <c r="B34" i="1"/>
  <c r="F28" i="1"/>
  <c r="E28" i="1"/>
  <c r="D28" i="1"/>
  <c r="C28" i="1"/>
  <c r="B28" i="1"/>
  <c r="H28" i="1" s="1"/>
  <c r="C27" i="1"/>
  <c r="B27" i="1"/>
  <c r="G25" i="1"/>
  <c r="E25" i="1"/>
  <c r="D25" i="1"/>
  <c r="C25" i="1"/>
  <c r="B25" i="1"/>
  <c r="G24" i="1"/>
  <c r="F24" i="1"/>
  <c r="B24" i="1"/>
  <c r="G23" i="1"/>
  <c r="F23" i="1"/>
  <c r="E23" i="1"/>
  <c r="G21" i="1"/>
  <c r="F21" i="1"/>
  <c r="E21" i="1"/>
  <c r="D21" i="1"/>
  <c r="C21" i="1"/>
  <c r="F15" i="1"/>
  <c r="F51" i="1" s="1"/>
  <c r="E15" i="1"/>
  <c r="E52" i="1" s="1"/>
  <c r="D15" i="1"/>
  <c r="D54" i="1" s="1"/>
  <c r="C15" i="1"/>
  <c r="C51" i="1" s="1"/>
  <c r="B15" i="1"/>
  <c r="B53" i="1" s="1"/>
  <c r="I14" i="1"/>
  <c r="H14" i="1"/>
  <c r="G28" i="1" s="1"/>
  <c r="I13" i="1"/>
  <c r="H13" i="1"/>
  <c r="G27" i="1" s="1"/>
  <c r="I12" i="1"/>
  <c r="H12" i="1"/>
  <c r="G26" i="1" s="1"/>
  <c r="I11" i="1"/>
  <c r="H11" i="1"/>
  <c r="F25" i="1" s="1"/>
  <c r="H25" i="1" s="1"/>
  <c r="I10" i="1"/>
  <c r="H10" i="1"/>
  <c r="E24" i="1" s="1"/>
  <c r="I9" i="1"/>
  <c r="H9" i="1"/>
  <c r="D23" i="1" s="1"/>
  <c r="I7" i="1"/>
  <c r="H7" i="1"/>
  <c r="I8" i="1" l="1"/>
  <c r="I15" i="1" s="1"/>
  <c r="G15" i="1"/>
  <c r="F35" i="1"/>
  <c r="B68" i="1"/>
  <c r="C22" i="1"/>
  <c r="B61" i="1"/>
  <c r="D49" i="1"/>
  <c r="F50" i="1"/>
  <c r="E22" i="1"/>
  <c r="D47" i="1"/>
  <c r="D51" i="1"/>
  <c r="F22" i="1"/>
  <c r="B26" i="1"/>
  <c r="E47" i="1"/>
  <c r="C50" i="1"/>
  <c r="E51" i="1"/>
  <c r="C54" i="1"/>
  <c r="G22" i="1"/>
  <c r="C26" i="1"/>
  <c r="D27" i="1"/>
  <c r="H27" i="1" s="1"/>
  <c r="D26" i="1"/>
  <c r="E27" i="1"/>
  <c r="C49" i="1"/>
  <c r="E50" i="1"/>
  <c r="G51" i="1"/>
  <c r="C53" i="1"/>
  <c r="E54" i="1"/>
  <c r="H15" i="1"/>
  <c r="B64" i="1" s="1"/>
  <c r="B23" i="1"/>
  <c r="H23" i="1" s="1"/>
  <c r="C24" i="1"/>
  <c r="H24" i="1" s="1"/>
  <c r="E26" i="1"/>
  <c r="F27" i="1"/>
  <c r="D53" i="1"/>
  <c r="F54" i="1"/>
  <c r="B22" i="1"/>
  <c r="C23" i="1"/>
  <c r="D24" i="1"/>
  <c r="F26" i="1"/>
  <c r="C48" i="1"/>
  <c r="E49" i="1"/>
  <c r="G50" i="1"/>
  <c r="C52" i="1"/>
  <c r="E53" i="1"/>
  <c r="G54" i="1"/>
  <c r="B21" i="1"/>
  <c r="H21" i="1" s="1"/>
  <c r="B47" i="1"/>
  <c r="D48" i="1"/>
  <c r="F49" i="1"/>
  <c r="B51" i="1"/>
  <c r="D52" i="1"/>
  <c r="F53" i="1"/>
  <c r="B63" i="1"/>
  <c r="C47" i="1"/>
  <c r="E48" i="1"/>
  <c r="F47" i="1"/>
  <c r="B49" i="1"/>
  <c r="D50" i="1"/>
  <c r="B67" i="1"/>
  <c r="G53" i="1" l="1"/>
  <c r="B66" i="1"/>
  <c r="B65" i="1"/>
  <c r="G52" i="1"/>
  <c r="G48" i="1"/>
  <c r="G49" i="1"/>
  <c r="B62" i="1"/>
  <c r="G47" i="1"/>
  <c r="G55" i="1" s="1"/>
  <c r="D55" i="1"/>
  <c r="F55" i="1"/>
  <c r="B55" i="1"/>
  <c r="C55" i="1"/>
  <c r="E55" i="1"/>
  <c r="H26" i="1"/>
  <c r="H22" i="1"/>
</calcChain>
</file>

<file path=xl/sharedStrings.xml><?xml version="1.0" encoding="utf-8"?>
<sst xmlns="http://schemas.openxmlformats.org/spreadsheetml/2006/main" count="90" uniqueCount="51">
  <si>
    <t>Year-by-Year Return Distribution Analysis - All 8 Trading Strategies</t>
  </si>
  <si>
    <t>Generated on: 2026-01-19 18:08:16</t>
  </si>
  <si>
    <t>SECTION 1: YEARLY PROFIT DATA ($)</t>
  </si>
  <si>
    <t>Strategy</t>
  </si>
  <si>
    <t>2020</t>
  </si>
  <si>
    <t>2021</t>
  </si>
  <si>
    <t>2022</t>
  </si>
  <si>
    <t>2023</t>
  </si>
  <si>
    <t>2024</t>
  </si>
  <si>
    <t>2025</t>
  </si>
  <si>
    <t>Total Profit</t>
  </si>
  <si>
    <t>Avg Yearly</t>
  </si>
  <si>
    <t>AURUM</t>
  </si>
  <si>
    <t>Falcon</t>
  </si>
  <si>
    <t>Gold Dip</t>
  </si>
  <si>
    <t>Pair Trading EA</t>
  </si>
  <si>
    <t>Reversal Strategy</t>
  </si>
  <si>
    <t>RSI 6 Trades</t>
  </si>
  <si>
    <t>RSI Correlation</t>
  </si>
  <si>
    <t>7th Strategy (RSI Pyramiding)</t>
  </si>
  <si>
    <t>PORTFOLIO TOTAL</t>
  </si>
  <si>
    <t>SECTION 2: YEARLY PROFIT AS % OF TOTAL PROFIT</t>
  </si>
  <si>
    <t>Total %</t>
  </si>
  <si>
    <t>SECTION 3: YEAR-OVER-YEAR PROFIT COMPARISON</t>
  </si>
  <si>
    <t>2020→2021</t>
  </si>
  <si>
    <t>2021→2022</t>
  </si>
  <si>
    <t>2022→2023</t>
  </si>
  <si>
    <t>2023→2024</t>
  </si>
  <si>
    <t>2024→2025</t>
  </si>
  <si>
    <t>SECTION 4: STRATEGY CONTRIBUTION TO YEARLY PORTFOLIO PROFIT (%)</t>
  </si>
  <si>
    <t>TOTAL</t>
  </si>
  <si>
    <t>SECTION 5: SUMMARY STATISTICS</t>
  </si>
  <si>
    <t>Metric</t>
  </si>
  <si>
    <t>Value</t>
  </si>
  <si>
    <t>Formula Used</t>
  </si>
  <si>
    <t>Best Single Year (All Strategies)</t>
  </si>
  <si>
    <t>MAX of portfolio yearly totals</t>
  </si>
  <si>
    <t>Worst Single Year (All Strategies)</t>
  </si>
  <si>
    <t>MIN of portfolio yearly totals</t>
  </si>
  <si>
    <t>Average Yearly Return (Portfolio)</t>
  </si>
  <si>
    <t>AVERAGE of portfolio yearly totals</t>
  </si>
  <si>
    <t>Total Portfolio Profit</t>
  </si>
  <si>
    <t>Sum of all yearly profits</t>
  </si>
  <si>
    <t>Years with Positive Returns</t>
  </si>
  <si>
    <t>Count of years &gt; 0</t>
  </si>
  <si>
    <t>Years with Negative Returns</t>
  </si>
  <si>
    <t>Count of years &lt; 0</t>
  </si>
  <si>
    <t>Best Performing Strategy</t>
  </si>
  <si>
    <t>Strategy with highest total</t>
  </si>
  <si>
    <t>Worst Performing Strategy</t>
  </si>
  <si>
    <t>Strategy with lowest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</si>
</sst>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4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2E75B6"/>
        <b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4" fontId="0" fillId="3" borderId="1" xfId="0" applyNumberFormat="1" applyFill="1" applyBorder="1" applyAlignment="1">
      <alignment horizontal="right"/>
    </xf>
    <xf numFmtId="4" fontId="4" fillId="0" borderId="1" xfId="0" applyNumberFormat="1" applyFont="1" applyBorder="1"/>
    <xf numFmtId="4" fontId="0" fillId="0" borderId="1" xfId="0" applyNumberFormat="1" applyBorder="1"/>
    <xf numFmtId="4" fontId="0" fillId="0" borderId="1" xfId="0" applyNumberFormat="1" applyBorder="1" applyAlignment="1">
      <alignment horizontal="right"/>
    </xf>
    <xf numFmtId="4" fontId="0" fillId="4" borderId="1" xfId="0" applyNumberFormat="1" applyFill="1" applyBorder="1" applyAlignment="1">
      <alignment horizontal="right"/>
    </xf>
    <xf numFmtId="0" fontId="5" fillId="5" borderId="1" xfId="0" applyFont="1" applyFill="1" applyBorder="1"/>
    <xf numFmtId="4" fontId="5" fillId="5" borderId="1" xfId="0" applyNumberFormat="1" applyFont="1" applyFill="1" applyBorder="1"/>
    <xf numFmtId="10" fontId="0" fillId="0" borderId="1" xfId="0" applyNumberFormat="1" applyBorder="1" applyAlignment="1">
      <alignment horizontal="right"/>
    </xf>
    <xf numFmtId="10" fontId="4" fillId="0" borderId="1" xfId="0" applyNumberFormat="1" applyFont="1" applyBorder="1"/>
    <xf numFmtId="10" fontId="5" fillId="5" borderId="1" xfId="0" applyNumberFormat="1" applyFont="1" applyFill="1" applyBorder="1"/>
    <xf numFmtId="0" fontId="3" fillId="2" borderId="1" xfId="0" applyFont="1" applyFill="1" applyBorder="1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"/>
  <sheetViews>
    <sheetView tabSelected="1" topLeftCell="A14" workbookViewId="0">
      <selection activeCell="E62" sqref="E62"/>
    </sheetView>
  </sheetViews>
  <sheetFormatPr baseColWidth="10" defaultColWidth="8.83203125" defaultRowHeight="15" x14ac:dyDescent="0.2"/>
  <cols>
    <col min="1" max="1" width="32" customWidth="1"/>
    <col min="2" max="9" width="14" customWidth="1"/>
  </cols>
  <sheetData>
    <row r="1" spans="1:10" ht="2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2">
      <c r="A2" s="17" t="s">
        <v>1</v>
      </c>
      <c r="B2" s="16"/>
      <c r="C2" s="16"/>
      <c r="D2" s="16"/>
      <c r="E2" s="16"/>
      <c r="F2" s="16"/>
      <c r="G2" s="16"/>
      <c r="H2" s="16"/>
      <c r="I2" s="16"/>
      <c r="J2" s="16"/>
    </row>
    <row r="4" spans="1:10" ht="19" x14ac:dyDescent="0.25">
      <c r="A4" s="1" t="s">
        <v>2</v>
      </c>
    </row>
    <row r="6" spans="1:10" ht="16" x14ac:dyDescent="0.2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</row>
    <row r="7" spans="1:10" x14ac:dyDescent="0.2">
      <c r="A7" s="3" t="s">
        <v>12</v>
      </c>
      <c r="B7" s="4">
        <v>4472.2700000000004</v>
      </c>
      <c r="C7" s="4">
        <v>3510.98</v>
      </c>
      <c r="D7" s="4">
        <v>4491.1099999999997</v>
      </c>
      <c r="E7" s="4">
        <v>5325.34</v>
      </c>
      <c r="F7" s="4">
        <v>5536.97</v>
      </c>
      <c r="G7" s="4">
        <v>4388.95</v>
      </c>
      <c r="H7" s="5">
        <f t="shared" ref="H7:H14" si="0">SUM(B7:G7)</f>
        <v>27725.620000000003</v>
      </c>
      <c r="I7" s="6">
        <f t="shared" ref="I7:I14" si="1">AVERAGE(B7:G7)</f>
        <v>4620.9366666666674</v>
      </c>
    </row>
    <row r="8" spans="1:10" x14ac:dyDescent="0.2">
      <c r="A8" s="3" t="s">
        <v>13</v>
      </c>
      <c r="B8" s="4">
        <v>263.77999999999997</v>
      </c>
      <c r="C8" s="4">
        <v>509.89</v>
      </c>
      <c r="D8" s="4">
        <v>313.04000000000002</v>
      </c>
      <c r="E8" s="4">
        <v>382.69</v>
      </c>
      <c r="F8" s="4">
        <v>446.38</v>
      </c>
      <c r="G8" s="7">
        <f>(B8+D8+C8+F8)/4</f>
        <v>383.27250000000004</v>
      </c>
      <c r="H8" s="5">
        <f>SUM(B8:G8)</f>
        <v>2299.0525000000002</v>
      </c>
      <c r="I8" s="6">
        <f t="shared" si="1"/>
        <v>383.17541666666671</v>
      </c>
    </row>
    <row r="9" spans="1:10" x14ac:dyDescent="0.2">
      <c r="A9" s="3" t="s">
        <v>14</v>
      </c>
      <c r="B9" s="4">
        <v>19611.349999999999</v>
      </c>
      <c r="C9" s="4">
        <v>5731.55</v>
      </c>
      <c r="D9" s="4">
        <v>16848.939999999999</v>
      </c>
      <c r="E9" s="4">
        <v>11224.89</v>
      </c>
      <c r="F9" s="4">
        <v>8428.17</v>
      </c>
      <c r="G9" s="4">
        <v>4265.08</v>
      </c>
      <c r="H9" s="5">
        <f t="shared" si="0"/>
        <v>66109.98</v>
      </c>
      <c r="I9" s="6">
        <f t="shared" si="1"/>
        <v>11018.33</v>
      </c>
    </row>
    <row r="10" spans="1:10" x14ac:dyDescent="0.2">
      <c r="A10" s="3" t="s">
        <v>15</v>
      </c>
      <c r="B10" s="4">
        <v>3422.75</v>
      </c>
      <c r="C10" s="4">
        <v>6026.55</v>
      </c>
      <c r="D10" s="4">
        <v>8635.27</v>
      </c>
      <c r="E10" s="4">
        <v>5140.37</v>
      </c>
      <c r="F10" s="4">
        <v>6037.72</v>
      </c>
      <c r="G10" s="4">
        <v>7166.1</v>
      </c>
      <c r="H10" s="5">
        <f t="shared" si="0"/>
        <v>36428.76</v>
      </c>
      <c r="I10" s="6">
        <f t="shared" si="1"/>
        <v>6071.46</v>
      </c>
    </row>
    <row r="11" spans="1:10" x14ac:dyDescent="0.2">
      <c r="A11" s="3" t="s">
        <v>16</v>
      </c>
      <c r="B11" s="8">
        <v>-13.2</v>
      </c>
      <c r="C11" s="4">
        <v>251.46</v>
      </c>
      <c r="D11" s="4">
        <v>159.6</v>
      </c>
      <c r="E11" s="4">
        <v>214.57</v>
      </c>
      <c r="F11" s="4">
        <v>336.12</v>
      </c>
      <c r="G11" s="4">
        <v>252.43</v>
      </c>
      <c r="H11" s="5">
        <f t="shared" si="0"/>
        <v>1200.98</v>
      </c>
      <c r="I11" s="6">
        <f t="shared" si="1"/>
        <v>200.16333333333333</v>
      </c>
    </row>
    <row r="12" spans="1:10" x14ac:dyDescent="0.2">
      <c r="A12" s="3" t="s">
        <v>17</v>
      </c>
      <c r="B12" s="4">
        <v>1547.52</v>
      </c>
      <c r="C12" s="4">
        <v>370.63</v>
      </c>
      <c r="D12" s="4">
        <v>1418.52</v>
      </c>
      <c r="E12" s="4">
        <v>712.58</v>
      </c>
      <c r="F12" s="4">
        <v>850.94</v>
      </c>
      <c r="G12" s="4">
        <v>585.57000000000005</v>
      </c>
      <c r="H12" s="5">
        <f t="shared" si="0"/>
        <v>5485.76</v>
      </c>
      <c r="I12" s="6">
        <f t="shared" si="1"/>
        <v>914.29333333333341</v>
      </c>
    </row>
    <row r="13" spans="1:10" x14ac:dyDescent="0.2">
      <c r="A13" s="3" t="s">
        <v>18</v>
      </c>
      <c r="B13" s="4">
        <v>1841.81</v>
      </c>
      <c r="C13" s="4">
        <v>1943.55</v>
      </c>
      <c r="D13" s="4">
        <v>2038.84</v>
      </c>
      <c r="E13" s="4">
        <v>3501.72</v>
      </c>
      <c r="F13" s="4">
        <v>3978.82</v>
      </c>
      <c r="G13" s="4">
        <v>3120.03</v>
      </c>
      <c r="H13" s="5">
        <f t="shared" si="0"/>
        <v>16424.77</v>
      </c>
      <c r="I13" s="6">
        <f t="shared" si="1"/>
        <v>2737.4616666666666</v>
      </c>
    </row>
    <row r="14" spans="1:10" x14ac:dyDescent="0.2">
      <c r="A14" s="3" t="s">
        <v>19</v>
      </c>
      <c r="B14" s="4">
        <v>1527.59</v>
      </c>
      <c r="C14" s="8">
        <v>-185.15</v>
      </c>
      <c r="D14" s="8">
        <v>-656.12</v>
      </c>
      <c r="E14" s="4">
        <v>715.72</v>
      </c>
      <c r="F14" s="4">
        <v>1358.34</v>
      </c>
      <c r="G14" s="4">
        <v>1789.22</v>
      </c>
      <c r="H14" s="5">
        <f t="shared" si="0"/>
        <v>4549.6000000000004</v>
      </c>
      <c r="I14" s="6">
        <f t="shared" si="1"/>
        <v>758.26666666666677</v>
      </c>
    </row>
    <row r="15" spans="1:10" x14ac:dyDescent="0.2">
      <c r="A15" s="9" t="s">
        <v>20</v>
      </c>
      <c r="B15" s="10">
        <f t="shared" ref="B15:H15" si="2">SUM(B7:B14)</f>
        <v>32673.87</v>
      </c>
      <c r="C15" s="10">
        <f t="shared" si="2"/>
        <v>18159.46</v>
      </c>
      <c r="D15" s="10">
        <f t="shared" si="2"/>
        <v>33249.19999999999</v>
      </c>
      <c r="E15" s="10">
        <f t="shared" si="2"/>
        <v>27217.88</v>
      </c>
      <c r="F15" s="10">
        <f t="shared" si="2"/>
        <v>26973.46</v>
      </c>
      <c r="G15" s="10">
        <f t="shared" si="2"/>
        <v>21950.6525</v>
      </c>
      <c r="H15" s="10">
        <f t="shared" si="2"/>
        <v>160224.52250000002</v>
      </c>
      <c r="I15" s="10">
        <f>AVERAGE(I7:I14)</f>
        <v>3338.010885416667</v>
      </c>
    </row>
    <row r="18" spans="1:8" ht="19" x14ac:dyDescent="0.25">
      <c r="A18" s="1" t="s">
        <v>21</v>
      </c>
    </row>
    <row r="20" spans="1:8" ht="16" x14ac:dyDescent="0.2">
      <c r="A20" s="2" t="s">
        <v>3</v>
      </c>
      <c r="B20" s="2" t="s">
        <v>4</v>
      </c>
      <c r="C20" s="2" t="s">
        <v>5</v>
      </c>
      <c r="D20" s="2" t="s">
        <v>6</v>
      </c>
      <c r="E20" s="2" t="s">
        <v>7</v>
      </c>
      <c r="F20" s="2" t="s">
        <v>8</v>
      </c>
      <c r="G20" s="2" t="s">
        <v>9</v>
      </c>
      <c r="H20" s="2" t="s">
        <v>22</v>
      </c>
    </row>
    <row r="21" spans="1:8" x14ac:dyDescent="0.2">
      <c r="A21" s="3" t="s">
        <v>12</v>
      </c>
      <c r="B21" s="11">
        <f t="shared" ref="B21:B28" si="3">IF(H7=0,0,B7/H7)</f>
        <v>0.16130459841835817</v>
      </c>
      <c r="C21" s="11">
        <f t="shared" ref="C21:C28" si="4">IF(H7=0,0,C7/H7)</f>
        <v>0.12663305635726088</v>
      </c>
      <c r="D21" s="11">
        <f t="shared" ref="D21:D28" si="5">IF(H7=0,0,D7/H7)</f>
        <v>0.16198411433179852</v>
      </c>
      <c r="E21" s="11">
        <f t="shared" ref="E21:E28" si="6">IF(H7=0,0,E7/H7)</f>
        <v>0.19207289142677422</v>
      </c>
      <c r="F21" s="11">
        <f t="shared" ref="F21:F28" si="7">IF(H7=0,0,F7/H7)</f>
        <v>0.19970590378141229</v>
      </c>
      <c r="G21" s="11">
        <f t="shared" ref="G21:G28" si="8">IF(H7=0,0,G7/H7)</f>
        <v>0.15829943568439586</v>
      </c>
      <c r="H21" s="12">
        <f t="shared" ref="H21:H28" si="9">SUM(B21:G21)</f>
        <v>0.99999999999999989</v>
      </c>
    </row>
    <row r="22" spans="1:8" x14ac:dyDescent="0.2">
      <c r="A22" s="3" t="s">
        <v>13</v>
      </c>
      <c r="B22" s="11">
        <f t="shared" si="3"/>
        <v>0.11473422203277217</v>
      </c>
      <c r="C22" s="11">
        <f t="shared" si="4"/>
        <v>0.22178266916479722</v>
      </c>
      <c r="D22" s="11">
        <f t="shared" si="5"/>
        <v>0.13616044000735084</v>
      </c>
      <c r="E22" s="11">
        <f t="shared" si="6"/>
        <v>0.16645552896247473</v>
      </c>
      <c r="F22" s="11">
        <f t="shared" si="7"/>
        <v>0.1941582456250999</v>
      </c>
      <c r="G22" s="11">
        <f t="shared" si="8"/>
        <v>0.16670889420750504</v>
      </c>
      <c r="H22" s="12">
        <f t="shared" si="9"/>
        <v>0.99999999999999978</v>
      </c>
    </row>
    <row r="23" spans="1:8" x14ac:dyDescent="0.2">
      <c r="A23" s="3" t="s">
        <v>14</v>
      </c>
      <c r="B23" s="11">
        <f t="shared" si="3"/>
        <v>0.2966473443192692</v>
      </c>
      <c r="C23" s="11">
        <f t="shared" si="4"/>
        <v>8.6697197609196072E-2</v>
      </c>
      <c r="D23" s="11">
        <f t="shared" si="5"/>
        <v>0.2548622764671839</v>
      </c>
      <c r="E23" s="11">
        <f t="shared" si="6"/>
        <v>0.16979115709912482</v>
      </c>
      <c r="F23" s="11">
        <f t="shared" si="7"/>
        <v>0.12748710557770551</v>
      </c>
      <c r="G23" s="11">
        <f t="shared" si="8"/>
        <v>6.4514918927520482E-2</v>
      </c>
      <c r="H23" s="12">
        <f t="shared" si="9"/>
        <v>1</v>
      </c>
    </row>
    <row r="24" spans="1:8" x14ac:dyDescent="0.2">
      <c r="A24" s="3" t="s">
        <v>15</v>
      </c>
      <c r="B24" s="11">
        <f t="shared" si="3"/>
        <v>9.3957356769761025E-2</v>
      </c>
      <c r="C24" s="11">
        <f t="shared" si="4"/>
        <v>0.16543384951889661</v>
      </c>
      <c r="D24" s="11">
        <f t="shared" si="5"/>
        <v>0.23704540039243718</v>
      </c>
      <c r="E24" s="11">
        <f t="shared" si="6"/>
        <v>0.14110746563978568</v>
      </c>
      <c r="F24" s="11">
        <f t="shared" si="7"/>
        <v>0.16574047538263723</v>
      </c>
      <c r="G24" s="11">
        <f t="shared" si="8"/>
        <v>0.19671545229648224</v>
      </c>
      <c r="H24" s="12">
        <f t="shared" si="9"/>
        <v>1</v>
      </c>
    </row>
    <row r="25" spans="1:8" x14ac:dyDescent="0.2">
      <c r="A25" s="3" t="s">
        <v>16</v>
      </c>
      <c r="B25" s="11">
        <f t="shared" si="3"/>
        <v>-1.099102399706906E-2</v>
      </c>
      <c r="C25" s="11">
        <f t="shared" si="4"/>
        <v>0.2093790071441656</v>
      </c>
      <c r="D25" s="11">
        <f t="shared" si="5"/>
        <v>0.13289147196456227</v>
      </c>
      <c r="E25" s="11">
        <f t="shared" si="6"/>
        <v>0.17866242568569002</v>
      </c>
      <c r="F25" s="11">
        <f t="shared" si="7"/>
        <v>0.27987143832536759</v>
      </c>
      <c r="G25" s="11">
        <f t="shared" si="8"/>
        <v>0.21018668087728357</v>
      </c>
      <c r="H25" s="12">
        <f t="shared" si="9"/>
        <v>0.99999999999999989</v>
      </c>
    </row>
    <row r="26" spans="1:8" x14ac:dyDescent="0.2">
      <c r="A26" s="3" t="s">
        <v>17</v>
      </c>
      <c r="B26" s="11">
        <f t="shared" si="3"/>
        <v>0.28209764918625679</v>
      </c>
      <c r="C26" s="11">
        <f t="shared" si="4"/>
        <v>6.7562197398355006E-2</v>
      </c>
      <c r="D26" s="11">
        <f t="shared" si="5"/>
        <v>0.2585822201481654</v>
      </c>
      <c r="E26" s="11">
        <f t="shared" si="6"/>
        <v>0.1298963133640553</v>
      </c>
      <c r="F26" s="11">
        <f t="shared" si="7"/>
        <v>0.15511797818351514</v>
      </c>
      <c r="G26" s="11">
        <f t="shared" si="8"/>
        <v>0.10674364171965234</v>
      </c>
      <c r="H26" s="12">
        <f t="shared" si="9"/>
        <v>1</v>
      </c>
    </row>
    <row r="27" spans="1:8" x14ac:dyDescent="0.2">
      <c r="A27" s="3" t="s">
        <v>18</v>
      </c>
      <c r="B27" s="11">
        <f t="shared" si="3"/>
        <v>0.11213612123640086</v>
      </c>
      <c r="C27" s="11">
        <f t="shared" si="4"/>
        <v>0.11833042410943957</v>
      </c>
      <c r="D27" s="11">
        <f t="shared" si="5"/>
        <v>0.12413202741956203</v>
      </c>
      <c r="E27" s="11">
        <f t="shared" si="6"/>
        <v>0.21319750596203171</v>
      </c>
      <c r="F27" s="11">
        <f t="shared" si="7"/>
        <v>0.24224509688720147</v>
      </c>
      <c r="G27" s="11">
        <f t="shared" si="8"/>
        <v>0.18995882438536429</v>
      </c>
      <c r="H27" s="12">
        <f t="shared" si="9"/>
        <v>1</v>
      </c>
    </row>
    <row r="28" spans="1:8" x14ac:dyDescent="0.2">
      <c r="A28" s="3" t="s">
        <v>19</v>
      </c>
      <c r="B28" s="11">
        <f t="shared" si="3"/>
        <v>0.33576358361174602</v>
      </c>
      <c r="C28" s="11">
        <f t="shared" si="4"/>
        <v>-4.0695885352558463E-2</v>
      </c>
      <c r="D28" s="11">
        <f t="shared" si="5"/>
        <v>-0.14421487603305785</v>
      </c>
      <c r="E28" s="11">
        <f t="shared" si="6"/>
        <v>0.15731492878494813</v>
      </c>
      <c r="F28" s="11">
        <f t="shared" si="7"/>
        <v>0.2985625109899771</v>
      </c>
      <c r="G28" s="11">
        <f t="shared" si="8"/>
        <v>0.39326973799894493</v>
      </c>
      <c r="H28" s="12">
        <f t="shared" si="9"/>
        <v>0.99999999999999989</v>
      </c>
    </row>
    <row r="31" spans="1:8" ht="19" x14ac:dyDescent="0.25">
      <c r="A31" s="1" t="s">
        <v>23</v>
      </c>
    </row>
    <row r="33" spans="1:7" ht="16" x14ac:dyDescent="0.2">
      <c r="A33" s="2" t="s">
        <v>3</v>
      </c>
      <c r="B33" s="2" t="s">
        <v>24</v>
      </c>
      <c r="C33" s="2" t="s">
        <v>25</v>
      </c>
      <c r="D33" s="2" t="s">
        <v>26</v>
      </c>
      <c r="E33" s="2" t="s">
        <v>27</v>
      </c>
      <c r="F33" s="2" t="s">
        <v>28</v>
      </c>
    </row>
    <row r="34" spans="1:7" x14ac:dyDescent="0.2">
      <c r="A34" s="3" t="s">
        <v>12</v>
      </c>
      <c r="B34" s="7">
        <f t="shared" ref="B34:F41" si="10">C7-B7</f>
        <v>-961.29000000000042</v>
      </c>
      <c r="C34" s="7">
        <f t="shared" si="10"/>
        <v>980.12999999999965</v>
      </c>
      <c r="D34" s="7">
        <f t="shared" si="10"/>
        <v>834.23000000000047</v>
      </c>
      <c r="E34" s="7">
        <f t="shared" si="10"/>
        <v>211.63000000000011</v>
      </c>
      <c r="F34" s="7">
        <f t="shared" si="10"/>
        <v>-1148.0200000000004</v>
      </c>
    </row>
    <row r="35" spans="1:7" x14ac:dyDescent="0.2">
      <c r="A35" s="3" t="s">
        <v>13</v>
      </c>
      <c r="B35" s="7">
        <f t="shared" si="10"/>
        <v>246.11</v>
      </c>
      <c r="C35" s="7">
        <f t="shared" si="10"/>
        <v>-196.84999999999997</v>
      </c>
      <c r="D35" s="7">
        <f t="shared" si="10"/>
        <v>69.649999999999977</v>
      </c>
      <c r="E35" s="7">
        <f t="shared" si="10"/>
        <v>63.69</v>
      </c>
      <c r="F35" s="7">
        <f t="shared" si="10"/>
        <v>-63.107499999999959</v>
      </c>
    </row>
    <row r="36" spans="1:7" x14ac:dyDescent="0.2">
      <c r="A36" s="3" t="s">
        <v>14</v>
      </c>
      <c r="B36" s="7">
        <f t="shared" si="10"/>
        <v>-13879.8</v>
      </c>
      <c r="C36" s="7">
        <f t="shared" si="10"/>
        <v>11117.39</v>
      </c>
      <c r="D36" s="7">
        <f t="shared" si="10"/>
        <v>-5624.0499999999993</v>
      </c>
      <c r="E36" s="7">
        <f t="shared" si="10"/>
        <v>-2796.7199999999993</v>
      </c>
      <c r="F36" s="7">
        <f t="shared" si="10"/>
        <v>-4163.09</v>
      </c>
    </row>
    <row r="37" spans="1:7" x14ac:dyDescent="0.2">
      <c r="A37" s="3" t="s">
        <v>15</v>
      </c>
      <c r="B37" s="7">
        <f t="shared" si="10"/>
        <v>2603.8000000000002</v>
      </c>
      <c r="C37" s="7">
        <f t="shared" si="10"/>
        <v>2608.7200000000003</v>
      </c>
      <c r="D37" s="7">
        <f t="shared" si="10"/>
        <v>-3494.9000000000005</v>
      </c>
      <c r="E37" s="7">
        <f t="shared" si="10"/>
        <v>897.35000000000036</v>
      </c>
      <c r="F37" s="7">
        <f t="shared" si="10"/>
        <v>1128.3800000000001</v>
      </c>
    </row>
    <row r="38" spans="1:7" x14ac:dyDescent="0.2">
      <c r="A38" s="3" t="s">
        <v>16</v>
      </c>
      <c r="B38" s="7">
        <f t="shared" si="10"/>
        <v>264.66000000000003</v>
      </c>
      <c r="C38" s="7">
        <f t="shared" si="10"/>
        <v>-91.860000000000014</v>
      </c>
      <c r="D38" s="7">
        <f t="shared" si="10"/>
        <v>54.97</v>
      </c>
      <c r="E38" s="7">
        <f t="shared" si="10"/>
        <v>121.55000000000001</v>
      </c>
      <c r="F38" s="7">
        <f t="shared" si="10"/>
        <v>-83.69</v>
      </c>
    </row>
    <row r="39" spans="1:7" x14ac:dyDescent="0.2">
      <c r="A39" s="3" t="s">
        <v>17</v>
      </c>
      <c r="B39" s="7">
        <f t="shared" si="10"/>
        <v>-1176.8899999999999</v>
      </c>
      <c r="C39" s="7">
        <f t="shared" si="10"/>
        <v>1047.8899999999999</v>
      </c>
      <c r="D39" s="7">
        <f t="shared" si="10"/>
        <v>-705.93999999999994</v>
      </c>
      <c r="E39" s="7">
        <f t="shared" si="10"/>
        <v>138.36000000000001</v>
      </c>
      <c r="F39" s="7">
        <f t="shared" si="10"/>
        <v>-265.37</v>
      </c>
    </row>
    <row r="40" spans="1:7" x14ac:dyDescent="0.2">
      <c r="A40" s="3" t="s">
        <v>18</v>
      </c>
      <c r="B40" s="7">
        <f t="shared" si="10"/>
        <v>101.74000000000001</v>
      </c>
      <c r="C40" s="7">
        <f t="shared" si="10"/>
        <v>95.289999999999964</v>
      </c>
      <c r="D40" s="7">
        <f t="shared" si="10"/>
        <v>1462.8799999999999</v>
      </c>
      <c r="E40" s="7">
        <f t="shared" si="10"/>
        <v>477.10000000000036</v>
      </c>
      <c r="F40" s="7">
        <f t="shared" si="10"/>
        <v>-858.79</v>
      </c>
    </row>
    <row r="41" spans="1:7" x14ac:dyDescent="0.2">
      <c r="A41" s="3" t="s">
        <v>19</v>
      </c>
      <c r="B41" s="7">
        <f t="shared" si="10"/>
        <v>-1712.74</v>
      </c>
      <c r="C41" s="7">
        <f t="shared" si="10"/>
        <v>-470.97</v>
      </c>
      <c r="D41" s="7">
        <f t="shared" si="10"/>
        <v>1371.8400000000001</v>
      </c>
      <c r="E41" s="7">
        <f t="shared" si="10"/>
        <v>642.61999999999989</v>
      </c>
      <c r="F41" s="7">
        <f t="shared" si="10"/>
        <v>430.88000000000011</v>
      </c>
    </row>
    <row r="44" spans="1:7" ht="19" x14ac:dyDescent="0.25">
      <c r="A44" s="1" t="s">
        <v>29</v>
      </c>
    </row>
    <row r="46" spans="1:7" ht="16" x14ac:dyDescent="0.2">
      <c r="A46" s="2" t="s">
        <v>3</v>
      </c>
      <c r="B46" s="2" t="s">
        <v>4</v>
      </c>
      <c r="C46" s="2" t="s">
        <v>5</v>
      </c>
      <c r="D46" s="2" t="s">
        <v>6</v>
      </c>
      <c r="E46" s="2" t="s">
        <v>7</v>
      </c>
      <c r="F46" s="2" t="s">
        <v>8</v>
      </c>
      <c r="G46" s="2" t="s">
        <v>9</v>
      </c>
    </row>
    <row r="47" spans="1:7" x14ac:dyDescent="0.2">
      <c r="A47" s="3" t="s">
        <v>12</v>
      </c>
      <c r="B47" s="11">
        <f t="shared" ref="B47:G47" si="11">IF(B15=0,0,B7/B15)</f>
        <v>0.13687604192585698</v>
      </c>
      <c r="C47" s="11">
        <f t="shared" si="11"/>
        <v>0.19334165222974692</v>
      </c>
      <c r="D47" s="11">
        <f t="shared" si="11"/>
        <v>0.13507422734983102</v>
      </c>
      <c r="E47" s="11">
        <f t="shared" si="11"/>
        <v>0.19565594381340501</v>
      </c>
      <c r="F47" s="11">
        <f t="shared" si="11"/>
        <v>0.20527474043003754</v>
      </c>
      <c r="G47" s="11">
        <f t="shared" si="11"/>
        <v>0.19994622027750655</v>
      </c>
    </row>
    <row r="48" spans="1:7" x14ac:dyDescent="0.2">
      <c r="A48" s="3" t="s">
        <v>13</v>
      </c>
      <c r="B48" s="11">
        <f t="shared" ref="B48:G48" si="12">IF(B15=0,0,B8/B15)</f>
        <v>8.0731177543400881E-3</v>
      </c>
      <c r="C48" s="11">
        <f t="shared" si="12"/>
        <v>2.8078478104525136E-2</v>
      </c>
      <c r="D48" s="11">
        <f t="shared" si="12"/>
        <v>9.4149633675396742E-3</v>
      </c>
      <c r="E48" s="11">
        <f t="shared" si="12"/>
        <v>1.4060242752190838E-2</v>
      </c>
      <c r="F48" s="11">
        <f t="shared" si="12"/>
        <v>1.6548859508568794E-2</v>
      </c>
      <c r="G48" s="11">
        <f t="shared" si="12"/>
        <v>1.7460642684767574E-2</v>
      </c>
    </row>
    <row r="49" spans="1:7" x14ac:dyDescent="0.2">
      <c r="A49" s="3" t="s">
        <v>14</v>
      </c>
      <c r="B49" s="11">
        <f t="shared" ref="B49:G49" si="13">IF(B15=0,0,B9/B15)</f>
        <v>0.6002150954264065</v>
      </c>
      <c r="C49" s="11">
        <f t="shared" si="13"/>
        <v>0.31562337206062296</v>
      </c>
      <c r="D49" s="11">
        <f t="shared" si="13"/>
        <v>0.50674723000854172</v>
      </c>
      <c r="E49" s="11">
        <f t="shared" si="13"/>
        <v>0.41240868135211117</v>
      </c>
      <c r="F49" s="11">
        <f t="shared" si="13"/>
        <v>0.3124615826074964</v>
      </c>
      <c r="G49" s="11">
        <f t="shared" si="13"/>
        <v>0.19430310784611071</v>
      </c>
    </row>
    <row r="50" spans="1:7" x14ac:dyDescent="0.2">
      <c r="A50" s="3" t="s">
        <v>15</v>
      </c>
      <c r="B50" s="11">
        <f t="shared" ref="B50:G50" si="14">IF(B15=0,0,B10/B15)</f>
        <v>0.10475496168650975</v>
      </c>
      <c r="C50" s="11">
        <f t="shared" si="14"/>
        <v>0.33186834850816049</v>
      </c>
      <c r="D50" s="11">
        <f t="shared" si="14"/>
        <v>0.25971361716973651</v>
      </c>
      <c r="E50" s="11">
        <f t="shared" si="14"/>
        <v>0.18886004347142393</v>
      </c>
      <c r="F50" s="11">
        <f t="shared" si="14"/>
        <v>0.22383928498605668</v>
      </c>
      <c r="G50" s="11">
        <f t="shared" si="14"/>
        <v>0.32646409941572352</v>
      </c>
    </row>
    <row r="51" spans="1:7" x14ac:dyDescent="0.2">
      <c r="A51" s="3" t="s">
        <v>16</v>
      </c>
      <c r="B51" s="11">
        <f t="shared" ref="B51:G51" si="15">IF(B15=0,0,B11/B15)</f>
        <v>-4.0399254817381595E-4</v>
      </c>
      <c r="C51" s="11">
        <f t="shared" si="15"/>
        <v>1.384732805931454E-2</v>
      </c>
      <c r="D51" s="11">
        <f t="shared" si="15"/>
        <v>4.8001154915005484E-3</v>
      </c>
      <c r="E51" s="11">
        <f t="shared" si="15"/>
        <v>7.8834207513590326E-3</v>
      </c>
      <c r="F51" s="11">
        <f t="shared" si="15"/>
        <v>1.2461137725749681E-2</v>
      </c>
      <c r="G51" s="11">
        <f t="shared" si="15"/>
        <v>1.1499885937331476E-2</v>
      </c>
    </row>
    <row r="52" spans="1:7" x14ac:dyDescent="0.2">
      <c r="A52" s="3" t="s">
        <v>17</v>
      </c>
      <c r="B52" s="11">
        <f t="shared" ref="B52:G52" si="16">IF(B15=0,0,B12/B15)</f>
        <v>4.7362617284086646E-2</v>
      </c>
      <c r="C52" s="11">
        <f t="shared" si="16"/>
        <v>2.0409747866951992E-2</v>
      </c>
      <c r="D52" s="11">
        <f t="shared" si="16"/>
        <v>4.2663282124081194E-2</v>
      </c>
      <c r="E52" s="11">
        <f t="shared" si="16"/>
        <v>2.6180584233599386E-2</v>
      </c>
      <c r="F52" s="11">
        <f t="shared" si="16"/>
        <v>3.1547306129803152E-2</v>
      </c>
      <c r="G52" s="11">
        <f t="shared" si="16"/>
        <v>2.6676655739504784E-2</v>
      </c>
    </row>
    <row r="53" spans="1:7" x14ac:dyDescent="0.2">
      <c r="A53" s="3" t="s">
        <v>18</v>
      </c>
      <c r="B53" s="11">
        <f t="shared" ref="B53:G53" si="17">IF(B15=0,0,B13/B15)</f>
        <v>5.6369508723637572E-2</v>
      </c>
      <c r="C53" s="11">
        <f t="shared" si="17"/>
        <v>0.10702686093088672</v>
      </c>
      <c r="D53" s="11">
        <f t="shared" si="17"/>
        <v>6.1319971608339463E-2</v>
      </c>
      <c r="E53" s="11">
        <f t="shared" si="17"/>
        <v>0.12865513405158666</v>
      </c>
      <c r="F53" s="11">
        <f t="shared" si="17"/>
        <v>0.14750869929182242</v>
      </c>
      <c r="G53" s="11">
        <f t="shared" si="17"/>
        <v>0.14213837151310196</v>
      </c>
    </row>
    <row r="54" spans="1:7" x14ac:dyDescent="0.2">
      <c r="A54" s="3" t="s">
        <v>19</v>
      </c>
      <c r="B54" s="11">
        <f t="shared" ref="B54:G54" si="18">IF(B15=0,0,B14/B15)</f>
        <v>4.6752649747336325E-2</v>
      </c>
      <c r="C54" s="11">
        <f t="shared" si="18"/>
        <v>-1.0195787760208729E-2</v>
      </c>
      <c r="D54" s="11">
        <f t="shared" si="18"/>
        <v>-1.97334071195698E-2</v>
      </c>
      <c r="E54" s="11">
        <f t="shared" si="18"/>
        <v>2.6295949574323938E-2</v>
      </c>
      <c r="F54" s="11">
        <f t="shared" si="18"/>
        <v>5.0358389320465373E-2</v>
      </c>
      <c r="G54" s="11">
        <f t="shared" si="18"/>
        <v>8.151101658595343E-2</v>
      </c>
    </row>
    <row r="55" spans="1:7" x14ac:dyDescent="0.2">
      <c r="A55" s="9" t="s">
        <v>30</v>
      </c>
      <c r="B55" s="13">
        <f t="shared" ref="B55:G55" si="19">SUM(B47:B54)</f>
        <v>1</v>
      </c>
      <c r="C55" s="13">
        <f t="shared" si="19"/>
        <v>1</v>
      </c>
      <c r="D55" s="13">
        <f t="shared" si="19"/>
        <v>1.0000000000000002</v>
      </c>
      <c r="E55" s="13">
        <f t="shared" si="19"/>
        <v>1</v>
      </c>
      <c r="F55" s="13">
        <f t="shared" si="19"/>
        <v>1</v>
      </c>
      <c r="G55" s="13">
        <f t="shared" si="19"/>
        <v>1</v>
      </c>
    </row>
    <row r="58" spans="1:7" ht="19" x14ac:dyDescent="0.25">
      <c r="A58" s="1" t="s">
        <v>31</v>
      </c>
    </row>
    <row r="60" spans="1:7" ht="16" x14ac:dyDescent="0.2">
      <c r="A60" s="14" t="s">
        <v>32</v>
      </c>
      <c r="B60" s="14" t="s">
        <v>33</v>
      </c>
      <c r="C60" s="14" t="s">
        <v>34</v>
      </c>
    </row>
    <row r="61" spans="1:7" x14ac:dyDescent="0.2">
      <c r="A61" s="18" t="s">
        <v>35</v>
      </c>
      <c r="B61" s="19">
        <f>MAX(B15:G15)</f>
        <v>33249.19999999999</v>
      </c>
      <c r="C61" s="18" t="s">
        <v>36</v>
      </c>
    </row>
    <row r="62" spans="1:7" x14ac:dyDescent="0.2">
      <c r="A62" s="18" t="s">
        <v>37</v>
      </c>
      <c r="B62" s="19">
        <f>MIN(B15:G15)</f>
        <v>18159.46</v>
      </c>
      <c r="C62" s="18" t="s">
        <v>38</v>
      </c>
    </row>
    <row r="63" spans="1:7" x14ac:dyDescent="0.2">
      <c r="A63" s="18" t="s">
        <v>39</v>
      </c>
      <c r="B63" s="20">
        <f>AVERAGE(B15:G15)</f>
        <v>26704.087083333332</v>
      </c>
      <c r="C63" s="18" t="s">
        <v>40</v>
      </c>
    </row>
    <row r="64" spans="1:7" x14ac:dyDescent="0.2">
      <c r="A64" s="18" t="s">
        <v>41</v>
      </c>
      <c r="B64" s="20">
        <f>H15</f>
        <v>160224.52250000002</v>
      </c>
      <c r="C64" s="18" t="s">
        <v>42</v>
      </c>
    </row>
    <row r="65" spans="1:3" x14ac:dyDescent="0.2">
      <c r="A65" s="18" t="s">
        <v>43</v>
      </c>
      <c r="B65" s="20">
        <f>COUNTIF(B15:G15,"&gt;0")</f>
        <v>6</v>
      </c>
      <c r="C65" s="18" t="s">
        <v>44</v>
      </c>
    </row>
    <row r="66" spans="1:3" x14ac:dyDescent="0.2">
      <c r="A66" s="18" t="s">
        <v>45</v>
      </c>
      <c r="B66" s="20">
        <f>COUNTIF(B15:G15,"&lt;0")</f>
        <v>0</v>
      </c>
      <c r="C66" s="18" t="s">
        <v>46</v>
      </c>
    </row>
    <row r="67" spans="1:3" x14ac:dyDescent="0.2">
      <c r="A67" s="18" t="s">
        <v>47</v>
      </c>
      <c r="B67" s="19" t="str">
        <f>INDEX(A7:A14,MATCH(MAX(H7:H14),H7:H14,0))</f>
        <v>Gold Dip</v>
      </c>
      <c r="C67" s="18" t="s">
        <v>48</v>
      </c>
    </row>
    <row r="68" spans="1:3" x14ac:dyDescent="0.2">
      <c r="A68" s="18" t="s">
        <v>49</v>
      </c>
      <c r="B68" s="19" t="str">
        <f>INDEX(A7:A14,MATCH(MIN(H7:H14),H7:H14,0))</f>
        <v>Reversal Strategy</v>
      </c>
      <c r="C68" s="18" t="s">
        <v>50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Yearly Returns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Gautam Katwe</cp:lastModifiedBy>
  <dcterms:created xsi:type="dcterms:W3CDTF">2026-01-19T12:38:16Z</dcterms:created>
  <dcterms:modified xsi:type="dcterms:W3CDTF">2026-01-19T14:57:32Z</dcterms:modified>
</cp:coreProperties>
</file>