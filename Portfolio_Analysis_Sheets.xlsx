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Portfolio_Analysis" sheetId="1" state="visible" r:id="rId1"/>
    <sheet xmlns:r="http://schemas.openxmlformats.org/officeDocument/2006/relationships" name="Strategy_Statistics" sheetId="2" state="visible" r:id="rId2"/>
    <sheet xmlns:r="http://schemas.openxmlformats.org/officeDocument/2006/relationships" name="Pair_Capital_Distribution" sheetId="3" state="visible" r:id="rId3"/>
    <sheet xmlns:r="http://schemas.openxmlformats.org/officeDocument/2006/relationships" name="Strategy_Capital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C00000"/>
      <sz val="10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color rgb="00666666"/>
      <sz val="10"/>
    </font>
    <font>
      <b val="1"/>
    </font>
    <font>
      <b val="1"/>
      <color rgb="00C00000"/>
      <sz val="12"/>
    </font>
    <font>
      <b val="1"/>
      <color rgb="00FFFFFF"/>
      <sz val="18"/>
    </font>
    <font>
      <b val="1"/>
      <sz val="11"/>
    </font>
    <font>
      <color rgb="000066CC"/>
      <sz val="11"/>
    </font>
    <font>
      <color rgb="000066CC"/>
    </font>
    <font>
      <b val="1"/>
      <color rgb="00006600"/>
      <sz val="12"/>
    </font>
    <font>
      <color rgb="00FFD700"/>
      <sz val="14"/>
    </font>
    <font>
      <b val="1"/>
      <color rgb="001F4E79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9E480E"/>
        <bgColor rgb="009E480E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1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1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5" fillId="12" borderId="1" pivotButton="0" quotePrefix="0" xfId="0"/>
    <xf numFmtId="0" fontId="3" fillId="13" borderId="0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FINAL PORTFOLIO ANALYSIS</t>
        </is>
      </c>
    </row>
    <row r="3">
      <c r="A3" s="2" t="inlineStr">
        <is>
          <t>ALLOCATION CONFIGURATION</t>
        </is>
      </c>
      <c r="B3" s="2" t="n"/>
      <c r="C3" s="2" t="n"/>
    </row>
    <row r="4">
      <c r="A4" s="3" t="inlineStr">
        <is>
          <t>Strategy Level Allocation:</t>
        </is>
      </c>
      <c r="B4" s="4" t="inlineStr">
        <is>
          <t>Equal_Weight</t>
        </is>
      </c>
      <c r="C4" s="5" t="n"/>
    </row>
    <row r="5">
      <c r="A5" s="3" t="inlineStr">
        <is>
          <t>Pair Level Methods:</t>
        </is>
      </c>
      <c r="B5" s="5" t="n"/>
      <c r="C5" s="5" t="n"/>
    </row>
    <row r="6">
      <c r="A6" s="5" t="inlineStr">
        <is>
          <t xml:space="preserve">  • 7th_Strategy:</t>
        </is>
      </c>
      <c r="B6" s="6" t="inlineStr">
        <is>
          <t>Sharpe_Weighted</t>
        </is>
      </c>
      <c r="C6" s="5" t="n"/>
    </row>
    <row r="7">
      <c r="A7" s="5" t="inlineStr">
        <is>
          <t xml:space="preserve">  • Falcon:</t>
        </is>
      </c>
      <c r="B7" s="6" t="inlineStr">
        <is>
          <t>Risk_Parity</t>
        </is>
      </c>
      <c r="C7" s="5" t="n"/>
    </row>
    <row r="8">
      <c r="A8" s="5" t="inlineStr">
        <is>
          <t xml:space="preserve">  • Gold_Dip:</t>
        </is>
      </c>
      <c r="B8" s="6" t="inlineStr">
        <is>
          <t>Risk_Parity</t>
        </is>
      </c>
      <c r="C8" s="5" t="n"/>
    </row>
    <row r="9">
      <c r="A9" s="5" t="inlineStr">
        <is>
          <t xml:space="preserve">  • RSI_Correlation:</t>
        </is>
      </c>
      <c r="B9" s="6" t="inlineStr">
        <is>
          <t>Inverse_Volatility</t>
        </is>
      </c>
      <c r="C9" s="5" t="n"/>
    </row>
    <row r="10">
      <c r="A10" s="5" t="inlineStr">
        <is>
          <t xml:space="preserve">  • RSI_6_Trades:</t>
        </is>
      </c>
      <c r="B10" s="6" t="inlineStr">
        <is>
          <t>Risk_Parity</t>
        </is>
      </c>
      <c r="C10" s="5" t="n"/>
    </row>
    <row r="11">
      <c r="A11" s="5" t="inlineStr">
        <is>
          <t xml:space="preserve">  • AURUM:</t>
        </is>
      </c>
      <c r="B11" s="6" t="inlineStr">
        <is>
          <t>Risk_Parity</t>
        </is>
      </c>
      <c r="C11" s="5" t="n"/>
    </row>
    <row r="12">
      <c r="A12" s="5" t="inlineStr">
        <is>
          <t xml:space="preserve">  • PairTradingEA:</t>
        </is>
      </c>
      <c r="B12" s="6" t="inlineStr">
        <is>
          <t>Max_Sharpe</t>
        </is>
      </c>
      <c r="C12" s="5" t="n"/>
    </row>
    <row r="13">
      <c r="A13" s="5" t="inlineStr">
        <is>
          <t xml:space="preserve">  • Reversal_Strategy:</t>
        </is>
      </c>
      <c r="B13" s="6" t="inlineStr">
        <is>
          <t>Risk_Parity</t>
        </is>
      </c>
      <c r="C13" s="5" t="n"/>
    </row>
    <row r="16">
      <c r="A16" s="7" t="inlineStr">
        <is>
          <t>SECTION 1: STRATEGY-LEVEL PERFORMANCE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8" t="inlineStr">
        <is>
          <t>Strategy</t>
        </is>
      </c>
      <c r="B17" s="8" t="inlineStr">
        <is>
          <t>Pair_Method</t>
        </is>
      </c>
      <c r="C17" s="8" t="inlineStr">
        <is>
          <t>Pairs</t>
        </is>
      </c>
      <c r="D17" s="8" t="inlineStr">
        <is>
          <t>Sharpe</t>
        </is>
      </c>
      <c r="E17" s="8" t="inlineStr">
        <is>
          <t>XIRR_%</t>
        </is>
      </c>
      <c r="F17" s="8" t="inlineStr">
        <is>
          <t>Return_%</t>
        </is>
      </c>
      <c r="G17" s="8" t="inlineStr">
        <is>
          <t>Capital</t>
        </is>
      </c>
      <c r="H17" s="8" t="inlineStr">
        <is>
          <t>Profit</t>
        </is>
      </c>
      <c r="I17" s="8" t="inlineStr">
        <is>
          <t>Max_DD</t>
        </is>
      </c>
      <c r="J17" s="8" t="inlineStr">
        <is>
          <t>Years</t>
        </is>
      </c>
    </row>
    <row r="18">
      <c r="A18" s="5" t="inlineStr">
        <is>
          <t>7th_Strategy</t>
        </is>
      </c>
      <c r="B18" s="5" t="inlineStr">
        <is>
          <t>Sharpe_Weighted</t>
        </is>
      </c>
      <c r="C18" s="5" t="n">
        <v>2</v>
      </c>
      <c r="D18" s="5" t="n">
        <v>1.47</v>
      </c>
      <c r="E18" s="5" t="n">
        <v>19.19</v>
      </c>
      <c r="F18" s="5">
        <f>ROUND(IF(G18&gt;0, (H18/G18)*100, 0), 2)</f>
        <v/>
      </c>
      <c r="G18" s="5" t="n">
        <v>2664</v>
      </c>
      <c r="H18" s="5" t="n">
        <v>4562.16</v>
      </c>
      <c r="I18" s="5" t="n">
        <v>1332</v>
      </c>
      <c r="J18" s="5" t="n">
        <v>5.7</v>
      </c>
    </row>
    <row r="19">
      <c r="A19" s="5" t="inlineStr">
        <is>
          <t>Falcon</t>
        </is>
      </c>
      <c r="B19" s="5" t="inlineStr">
        <is>
          <t>Risk_Parity</t>
        </is>
      </c>
      <c r="C19" s="5" t="n">
        <v>2</v>
      </c>
      <c r="D19" s="5" t="n">
        <v>1.13</v>
      </c>
      <c r="E19" s="5" t="n">
        <v>21.7</v>
      </c>
      <c r="F19" s="5">
        <f>ROUND(IF(G19&gt;0, (H19/G19)*100, 0), 2)</f>
        <v/>
      </c>
      <c r="G19" s="5" t="n">
        <v>6832</v>
      </c>
      <c r="H19" s="5" t="n">
        <v>9441.959999999999</v>
      </c>
      <c r="I19" s="5" t="n">
        <v>3416</v>
      </c>
      <c r="J19" s="5" t="n">
        <v>4.89</v>
      </c>
    </row>
    <row r="20">
      <c r="A20" s="5" t="inlineStr">
        <is>
          <t>Gold_Dip</t>
        </is>
      </c>
      <c r="B20" s="5" t="inlineStr">
        <is>
          <t>Risk_Parity</t>
        </is>
      </c>
      <c r="C20" s="5" t="n">
        <v>8</v>
      </c>
      <c r="D20" s="5" t="n">
        <v>5.08</v>
      </c>
      <c r="E20" s="5" t="n">
        <v>22.04</v>
      </c>
      <c r="F20" s="5">
        <f>ROUND(IF(G20&gt;0, (H20/G20)*100, 0), 2)</f>
        <v/>
      </c>
      <c r="G20" s="5" t="n">
        <v>5312.2</v>
      </c>
      <c r="H20" s="5" t="n">
        <v>6590.47</v>
      </c>
      <c r="I20" s="5" t="n">
        <v>2656.1</v>
      </c>
      <c r="J20" s="5" t="n">
        <v>5.22</v>
      </c>
    </row>
    <row r="21">
      <c r="A21" s="5" t="inlineStr">
        <is>
          <t>RSI_Correlation</t>
        </is>
      </c>
      <c r="B21" s="5" t="inlineStr">
        <is>
          <t>Inverse_Volatility</t>
        </is>
      </c>
      <c r="C21" s="5" t="n">
        <v>6</v>
      </c>
      <c r="D21" s="5" t="n">
        <v>0.96</v>
      </c>
      <c r="E21" s="5" t="n">
        <v>13.34</v>
      </c>
      <c r="F21" s="5">
        <f>ROUND(IF(G21&gt;0, (H21/G21)*100, 0), 2)</f>
        <v/>
      </c>
      <c r="G21" s="5" t="n">
        <v>206.04</v>
      </c>
      <c r="H21" s="5" t="n">
        <v>164.25</v>
      </c>
      <c r="I21" s="5" t="n">
        <v>103.02</v>
      </c>
      <c r="J21" s="5" t="n">
        <v>5.91</v>
      </c>
    </row>
    <row r="22">
      <c r="A22" s="5" t="inlineStr">
        <is>
          <t>RSI_6_Trades</t>
        </is>
      </c>
      <c r="B22" s="5" t="inlineStr">
        <is>
          <t>Risk_Parity</t>
        </is>
      </c>
      <c r="C22" s="5" t="n">
        <v>15</v>
      </c>
      <c r="D22" s="5" t="n">
        <v>2.85</v>
      </c>
      <c r="E22" s="5" t="n">
        <v>11.14</v>
      </c>
      <c r="F22" s="5">
        <f>ROUND(IF(G22&gt;0, (H22/G22)*100, 0), 2)</f>
        <v/>
      </c>
      <c r="G22" s="5" t="n">
        <v>15494.74</v>
      </c>
      <c r="H22" s="5" t="n">
        <v>5461.52</v>
      </c>
      <c r="I22" s="5" t="n">
        <v>7747.37</v>
      </c>
      <c r="J22" s="5" t="n">
        <v>5.53</v>
      </c>
    </row>
    <row r="23">
      <c r="A23" s="5" t="inlineStr">
        <is>
          <t>AURUM</t>
        </is>
      </c>
      <c r="B23" s="5" t="inlineStr">
        <is>
          <t>Risk_Parity</t>
        </is>
      </c>
      <c r="C23" s="5" t="n">
        <v>2</v>
      </c>
      <c r="D23" s="5" t="n">
        <v>4.39</v>
      </c>
      <c r="E23" s="5" t="n">
        <v>14.34</v>
      </c>
      <c r="F23" s="5">
        <f>ROUND(IF(G23&gt;0, (H23/G23)*100, 0), 2)</f>
        <v/>
      </c>
      <c r="G23" s="5" t="n">
        <v>20142</v>
      </c>
      <c r="H23" s="5" t="n">
        <v>27715.57</v>
      </c>
      <c r="I23" s="5" t="n">
        <v>10071</v>
      </c>
      <c r="J23" s="5" t="n">
        <v>5.73</v>
      </c>
    </row>
    <row r="24">
      <c r="A24" s="5" t="inlineStr">
        <is>
          <t>PairTradingEA</t>
        </is>
      </c>
      <c r="B24" s="5" t="inlineStr">
        <is>
          <t>Max_Sharpe</t>
        </is>
      </c>
      <c r="C24" s="5" t="n">
        <v>5</v>
      </c>
      <c r="D24" s="5" t="n">
        <v>1.1</v>
      </c>
      <c r="E24" s="5" t="n">
        <v>15.01</v>
      </c>
      <c r="F24" s="5">
        <f>ROUND(IF(G24&gt;0, (H24/G24)*100, 0), 2)</f>
        <v/>
      </c>
      <c r="G24" s="5" t="n">
        <v>25358</v>
      </c>
      <c r="H24" s="5" t="n">
        <v>36428.76</v>
      </c>
      <c r="I24" s="5" t="n">
        <v>12679</v>
      </c>
      <c r="J24" s="5" t="n">
        <v>5.68</v>
      </c>
    </row>
    <row r="25">
      <c r="A25" s="5" t="inlineStr">
        <is>
          <t>Reversal_Strategy</t>
        </is>
      </c>
      <c r="B25" s="5" t="inlineStr">
        <is>
          <t>Risk_Parity</t>
        </is>
      </c>
      <c r="C25" s="5" t="n">
        <v>1</v>
      </c>
      <c r="D25" s="5" t="n">
        <v>2.71</v>
      </c>
      <c r="E25" s="5" t="n">
        <v>16.25</v>
      </c>
      <c r="F25" s="5">
        <f>ROUND(IF(G25&gt;0, (H25/G25)*100, 0), 2)</f>
        <v/>
      </c>
      <c r="G25" s="5" t="n">
        <v>820</v>
      </c>
      <c r="H25" s="5" t="n">
        <v>1200.98</v>
      </c>
      <c r="I25" s="5" t="n">
        <v>410</v>
      </c>
      <c r="J25" s="5" t="n">
        <v>5.99</v>
      </c>
    </row>
    <row r="26">
      <c r="A26" s="9" t="inlineStr">
        <is>
          <t>TOTAL</t>
        </is>
      </c>
      <c r="B26" s="9" t="n"/>
      <c r="C26" s="9">
        <f>SUM(C18:C25)</f>
        <v/>
      </c>
      <c r="D26" s="9" t="n"/>
      <c r="E26" s="9" t="n"/>
      <c r="F26" s="9" t="n"/>
      <c r="G26" s="9">
        <f>ROUND(SUM(G18:G25), 2)</f>
        <v/>
      </c>
      <c r="H26" s="9">
        <f>ROUND(SUM(H18:H25), 2)</f>
        <v/>
      </c>
      <c r="I26" s="9">
        <f>ROUND(SUM(I18:I25), 2)</f>
        <v/>
      </c>
      <c r="J26" s="9" t="n"/>
    </row>
    <row r="29">
      <c r="A29" s="10" t="inlineStr">
        <is>
          <t>SECTION 2: FINAL PORTFOLIO ALLOCATION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s="8" t="inlineStr">
        <is>
          <t>Strategy</t>
        </is>
      </c>
      <c r="B30" s="8" t="inlineStr">
        <is>
          <t>Weight_%</t>
        </is>
      </c>
      <c r="C30" s="8" t="inlineStr">
        <is>
          <t>Allocated_Capital</t>
        </is>
      </c>
      <c r="D30" s="8" t="inlineStr">
        <is>
          <t>Min_Required</t>
        </is>
      </c>
      <c r="E30" s="8" t="inlineStr">
        <is>
          <t>Expected_Return_%</t>
        </is>
      </c>
      <c r="F30" s="8" t="inlineStr">
        <is>
          <t>Expected_Profit</t>
        </is>
      </c>
      <c r="G30" s="8" t="inlineStr">
        <is>
          <t>Sharpe</t>
        </is>
      </c>
      <c r="H30" s="8" t="inlineStr">
        <is>
          <t>XIRR_%</t>
        </is>
      </c>
    </row>
    <row r="31">
      <c r="A31" s="5" t="inlineStr">
        <is>
          <t>7th_Strategy</t>
        </is>
      </c>
      <c r="B31" s="5">
        <f>ROUND(100/8, 2)</f>
        <v/>
      </c>
      <c r="C31" s="5">
        <f>ROUND((B31/100)*$G$26, 2)</f>
        <v/>
      </c>
      <c r="D31" s="5">
        <f>ROUND(G18, 2)</f>
        <v/>
      </c>
      <c r="E31" s="5">
        <f>ROUND(F18, 2)</f>
        <v/>
      </c>
      <c r="F31" s="5">
        <f>ROUND(C31*(E31/100), 2)</f>
        <v/>
      </c>
      <c r="G31" s="5">
        <f>ROUND(D18, 2)</f>
        <v/>
      </c>
      <c r="H31" s="5">
        <f>ROUND(E18, 2)</f>
        <v/>
      </c>
    </row>
    <row r="32">
      <c r="A32" s="5" t="inlineStr">
        <is>
          <t>Falcon</t>
        </is>
      </c>
      <c r="B32" s="5">
        <f>ROUND(100/8, 2)</f>
        <v/>
      </c>
      <c r="C32" s="5">
        <f>ROUND((B32/100)*$G$26, 2)</f>
        <v/>
      </c>
      <c r="D32" s="5">
        <f>ROUND(G19, 2)</f>
        <v/>
      </c>
      <c r="E32" s="5">
        <f>ROUND(F19, 2)</f>
        <v/>
      </c>
      <c r="F32" s="5">
        <f>ROUND(C32*(E32/100), 2)</f>
        <v/>
      </c>
      <c r="G32" s="5">
        <f>ROUND(D19, 2)</f>
        <v/>
      </c>
      <c r="H32" s="5">
        <f>ROUND(E19, 2)</f>
        <v/>
      </c>
    </row>
    <row r="33">
      <c r="A33" s="5" t="inlineStr">
        <is>
          <t>Gold_Dip</t>
        </is>
      </c>
      <c r="B33" s="5">
        <f>ROUND(100/8, 2)</f>
        <v/>
      </c>
      <c r="C33" s="5">
        <f>ROUND((B33/100)*$G$26, 2)</f>
        <v/>
      </c>
      <c r="D33" s="5">
        <f>ROUND(G20, 2)</f>
        <v/>
      </c>
      <c r="E33" s="5">
        <f>ROUND(F20, 2)</f>
        <v/>
      </c>
      <c r="F33" s="5">
        <f>ROUND(C33*(E33/100), 2)</f>
        <v/>
      </c>
      <c r="G33" s="5">
        <f>ROUND(D20, 2)</f>
        <v/>
      </c>
      <c r="H33" s="5">
        <f>ROUND(E20, 2)</f>
        <v/>
      </c>
    </row>
    <row r="34">
      <c r="A34" s="5" t="inlineStr">
        <is>
          <t>RSI_Correlation</t>
        </is>
      </c>
      <c r="B34" s="5">
        <f>ROUND(100/8, 2)</f>
        <v/>
      </c>
      <c r="C34" s="5">
        <f>ROUND((B34/100)*$G$26, 2)</f>
        <v/>
      </c>
      <c r="D34" s="5">
        <f>ROUND(G21, 2)</f>
        <v/>
      </c>
      <c r="E34" s="5">
        <f>ROUND(F21, 2)</f>
        <v/>
      </c>
      <c r="F34" s="5">
        <f>ROUND(C34*(E34/100), 2)</f>
        <v/>
      </c>
      <c r="G34" s="5">
        <f>ROUND(D21, 2)</f>
        <v/>
      </c>
      <c r="H34" s="5">
        <f>ROUND(E21, 2)</f>
        <v/>
      </c>
    </row>
    <row r="35">
      <c r="A35" s="5" t="inlineStr">
        <is>
          <t>RSI_6_Trades</t>
        </is>
      </c>
      <c r="B35" s="5">
        <f>ROUND(100/8, 2)</f>
        <v/>
      </c>
      <c r="C35" s="5">
        <f>ROUND((B35/100)*$G$26, 2)</f>
        <v/>
      </c>
      <c r="D35" s="5">
        <f>ROUND(G22, 2)</f>
        <v/>
      </c>
      <c r="E35" s="5">
        <f>ROUND(F22, 2)</f>
        <v/>
      </c>
      <c r="F35" s="5">
        <f>ROUND(C35*(E35/100), 2)</f>
        <v/>
      </c>
      <c r="G35" s="5">
        <f>ROUND(D22, 2)</f>
        <v/>
      </c>
      <c r="H35" s="5">
        <f>ROUND(E22, 2)</f>
        <v/>
      </c>
    </row>
    <row r="36">
      <c r="A36" s="5" t="inlineStr">
        <is>
          <t>AURUM</t>
        </is>
      </c>
      <c r="B36" s="5">
        <f>ROUND(100/8, 2)</f>
        <v/>
      </c>
      <c r="C36" s="5">
        <f>ROUND((B36/100)*$G$26, 2)</f>
        <v/>
      </c>
      <c r="D36" s="5">
        <f>ROUND(G23, 2)</f>
        <v/>
      </c>
      <c r="E36" s="5">
        <f>ROUND(F23, 2)</f>
        <v/>
      </c>
      <c r="F36" s="5">
        <f>ROUND(C36*(E36/100), 2)</f>
        <v/>
      </c>
      <c r="G36" s="5">
        <f>ROUND(D23, 2)</f>
        <v/>
      </c>
      <c r="H36" s="5">
        <f>ROUND(E23, 2)</f>
        <v/>
      </c>
    </row>
    <row r="37">
      <c r="A37" s="5" t="inlineStr">
        <is>
          <t>PairTradingEA</t>
        </is>
      </c>
      <c r="B37" s="5">
        <f>ROUND(100/8, 2)</f>
        <v/>
      </c>
      <c r="C37" s="5">
        <f>ROUND((B37/100)*$G$26, 2)</f>
        <v/>
      </c>
      <c r="D37" s="5">
        <f>ROUND(G24, 2)</f>
        <v/>
      </c>
      <c r="E37" s="5">
        <f>ROUND(F24, 2)</f>
        <v/>
      </c>
      <c r="F37" s="5">
        <f>ROUND(C37*(E37/100), 2)</f>
        <v/>
      </c>
      <c r="G37" s="5">
        <f>ROUND(D24, 2)</f>
        <v/>
      </c>
      <c r="H37" s="5">
        <f>ROUND(E24, 2)</f>
        <v/>
      </c>
    </row>
    <row r="38">
      <c r="A38" s="5" t="inlineStr">
        <is>
          <t>Reversal_Strategy</t>
        </is>
      </c>
      <c r="B38" s="5">
        <f>ROUND(100/8, 2)</f>
        <v/>
      </c>
      <c r="C38" s="5">
        <f>ROUND((B38/100)*$G$26, 2)</f>
        <v/>
      </c>
      <c r="D38" s="5">
        <f>ROUND(G25, 2)</f>
        <v/>
      </c>
      <c r="E38" s="5">
        <f>ROUND(F25, 2)</f>
        <v/>
      </c>
      <c r="F38" s="5">
        <f>ROUND(C38*(E38/100), 2)</f>
        <v/>
      </c>
      <c r="G38" s="5">
        <f>ROUND(D25, 2)</f>
        <v/>
      </c>
      <c r="H38" s="5">
        <f>ROUND(E25, 2)</f>
        <v/>
      </c>
    </row>
    <row r="39">
      <c r="A39" s="9" t="inlineStr">
        <is>
          <t>TOTAL</t>
        </is>
      </c>
      <c r="B39" s="9">
        <f>ROUND(SUM(B31:B38), 2)</f>
        <v/>
      </c>
      <c r="C39" s="9">
        <f>ROUND(SUM(C31:C38), 2)</f>
        <v/>
      </c>
      <c r="D39" s="9">
        <f>ROUND(SUM(D31:D38), 2)</f>
        <v/>
      </c>
      <c r="E39" s="9" t="n"/>
      <c r="F39" s="9">
        <f>ROUND(SUM(F31:F38), 2)</f>
        <v/>
      </c>
      <c r="G39" s="9" t="n"/>
      <c r="H39" s="9" t="n"/>
    </row>
    <row r="42">
      <c r="A42" s="11" t="inlineStr">
        <is>
          <t>SECTION 3: FINAL PORTFOLIO PERFORMANCE</t>
        </is>
      </c>
      <c r="B42" s="11" t="n"/>
      <c r="C42" s="11" t="n"/>
    </row>
    <row r="43">
      <c r="A43" s="3" t="inlineStr">
        <is>
          <t>Total Trading Pairs</t>
        </is>
      </c>
      <c r="B43" s="5">
        <f>C26</f>
        <v/>
      </c>
      <c r="C43" s="5" t="n"/>
    </row>
    <row r="44">
      <c r="A44" s="3" t="inlineStr">
        <is>
          <t>Total Capital Required (MDD×2)</t>
        </is>
      </c>
      <c r="B44" s="5">
        <f>ROUND(G26, 2)</f>
        <v/>
      </c>
      <c r="C44" s="5" t="inlineStr">
        <is>
          <t>$</t>
        </is>
      </c>
    </row>
    <row r="45">
      <c r="A45" s="3" t="inlineStr">
        <is>
          <t>Total Maximum Drawdown</t>
        </is>
      </c>
      <c r="B45" s="5">
        <f>ROUND(I26, 2)</f>
        <v/>
      </c>
      <c r="C45" s="5" t="inlineStr">
        <is>
          <t>$</t>
        </is>
      </c>
    </row>
    <row r="46">
      <c r="A46" s="3" t="inlineStr">
        <is>
          <t>Portfolio Sharpe Ratio</t>
        </is>
      </c>
      <c r="B46" s="12">
        <f>ROUND(SUMPRODUCT(B31:B38/100, G31:G38), 2)</f>
        <v/>
      </c>
      <c r="C46" s="13" t="inlineStr">
        <is>
          <t>★</t>
        </is>
      </c>
    </row>
    <row r="47">
      <c r="A47" s="3" t="inlineStr">
        <is>
          <t>Portfolio XIRR</t>
        </is>
      </c>
      <c r="B47" s="5">
        <f>ROUND(SUMPRODUCT(B31:B38/100, H31:H38), 2)</f>
        <v/>
      </c>
      <c r="C47" s="5" t="inlineStr">
        <is>
          <t>%</t>
        </is>
      </c>
    </row>
    <row r="48">
      <c r="A48" s="3" t="inlineStr">
        <is>
          <t>Expected Total Profit</t>
        </is>
      </c>
      <c r="B48" s="5">
        <f>ROUND(H26, 2)</f>
        <v/>
      </c>
      <c r="C48" s="5" t="inlineStr">
        <is>
          <t>$</t>
        </is>
      </c>
    </row>
    <row r="49">
      <c r="A49" s="3" t="inlineStr">
        <is>
          <t>Overall Return on Capital</t>
        </is>
      </c>
      <c r="B49" s="5">
        <f>ROUND(IF(G26&gt;0, (H26/G26)*100, 0), 2)</f>
        <v/>
      </c>
      <c r="C49" s="5" t="inlineStr">
        <is>
          <t>%</t>
        </is>
      </c>
    </row>
    <row r="51">
      <c r="A51" s="14" t="inlineStr">
        <is>
          <t>SHARPE RATIO FORMULA:</t>
        </is>
      </c>
    </row>
    <row r="52">
      <c r="A52" s="15" t="inlineStr">
        <is>
          <t>Portfolio Sharpe = Σ(Weight_i × Sharpe_i)</t>
        </is>
      </c>
    </row>
    <row r="53">
      <c r="A53" s="15" t="inlineStr">
        <is>
          <t>Where Sharpe_i = (Mean Profit / Std Dev) × √(Trades per Year)</t>
        </is>
      </c>
    </row>
  </sheetData>
  <mergeCells count="5">
    <mergeCell ref="A42:C42"/>
    <mergeCell ref="A1:J1"/>
    <mergeCell ref="A29:H29"/>
    <mergeCell ref="A3:C3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6" t="inlineStr">
        <is>
          <t>COMPREHENSIVE STRATEGY STATISTICS (MT5 Sharpe Ratios)</t>
        </is>
      </c>
    </row>
    <row r="2">
      <c r="A2" s="17" t="inlineStr">
        <is>
          <t>Note: Initial Capital = Max Drawdown × 2 | ALPHA = Sharpe × √(Total Trades)</t>
        </is>
      </c>
    </row>
    <row r="4">
      <c r="A4" s="7" t="inlineStr">
        <is>
          <t>Strategy: 7th_Strategy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</row>
    <row r="5">
      <c r="A5" s="8" t="inlineStr">
        <is>
          <t>Currency_Pair</t>
        </is>
      </c>
      <c r="B5" s="8" t="inlineStr">
        <is>
          <t>Sharpe_Ratio</t>
        </is>
      </c>
      <c r="C5" s="8" t="inlineStr">
        <is>
          <t>Total_Trades</t>
        </is>
      </c>
      <c r="D5" s="8" t="inlineStr">
        <is>
          <t>Win_Rate_%</t>
        </is>
      </c>
      <c r="E5" s="8" t="inlineStr">
        <is>
          <t>Total_Profit</t>
        </is>
      </c>
      <c r="F5" s="8" t="inlineStr">
        <is>
          <t>Max_Drawdown</t>
        </is>
      </c>
      <c r="G5" s="8" t="inlineStr">
        <is>
          <t>Initial_Capital</t>
        </is>
      </c>
      <c r="H5" s="8" t="inlineStr">
        <is>
          <t>Final_Balance</t>
        </is>
      </c>
      <c r="I5" s="8" t="inlineStr">
        <is>
          <t>Return_%</t>
        </is>
      </c>
      <c r="J5" s="8" t="inlineStr">
        <is>
          <t>XIRR_%</t>
        </is>
      </c>
      <c r="K5" s="8" t="inlineStr">
        <is>
          <t>Profit_Factor</t>
        </is>
      </c>
      <c r="L5" s="8" t="inlineStr">
        <is>
          <t>Trading_Days</t>
        </is>
      </c>
      <c r="M5" s="8" t="inlineStr">
        <is>
          <t>Trading_Years</t>
        </is>
      </c>
      <c r="N5" s="8" t="inlineStr">
        <is>
          <t>Start_Date</t>
        </is>
      </c>
      <c r="O5" s="8" t="inlineStr">
        <is>
          <t>End_Date</t>
        </is>
      </c>
      <c r="P5" s="8" t="inlineStr">
        <is>
          <t>Winning</t>
        </is>
      </c>
      <c r="Q5" s="8" t="inlineStr">
        <is>
          <t>Losing</t>
        </is>
      </c>
      <c r="R5" s="8" t="inlineStr">
        <is>
          <t>ALPHA</t>
        </is>
      </c>
    </row>
    <row r="6">
      <c r="A6" s="5" t="inlineStr">
        <is>
          <t>XAUUSD</t>
        </is>
      </c>
      <c r="B6" s="5" t="n">
        <v>1.4</v>
      </c>
      <c r="C6" s="5" t="n">
        <v>163</v>
      </c>
      <c r="D6" s="5">
        <f>ROUND(IF(C6&gt;0, (P6/C6)*100, 0), 2)</f>
        <v/>
      </c>
      <c r="E6" s="5" t="n">
        <v>2068.39</v>
      </c>
      <c r="F6" s="5" t="n">
        <v>580</v>
      </c>
      <c r="G6" s="5">
        <f>ROUND(F6*2, 2)</f>
        <v/>
      </c>
      <c r="H6" s="5">
        <f>ROUND(G6+E6, 2)</f>
        <v/>
      </c>
      <c r="I6" s="5">
        <f>ROUND(IF(G6&gt;0, (E6/G6)*100, 0), 2)</f>
        <v/>
      </c>
      <c r="J6" s="5">
        <f>ROUND(IF(AND(G6&gt;0, M6&gt;0), ((1+I6/100)^(1/M6)-1)*100, 0), 2)</f>
        <v/>
      </c>
      <c r="K6" s="5" t="n">
        <v>2.38</v>
      </c>
      <c r="L6" s="5" t="n">
        <v>2021</v>
      </c>
      <c r="M6" s="5">
        <f>ROUND(L6/365, 2)</f>
        <v/>
      </c>
      <c r="N6" s="5" t="inlineStr">
        <is>
          <t>2020-01-24</t>
        </is>
      </c>
      <c r="O6" s="5" t="inlineStr">
        <is>
          <t>2025-08-06</t>
        </is>
      </c>
      <c r="P6" s="5" t="n">
        <v>121</v>
      </c>
      <c r="Q6" s="5" t="n">
        <v>42</v>
      </c>
      <c r="R6" s="5">
        <f>ROUND(B6*SQRT(C6), 2)</f>
        <v/>
      </c>
    </row>
    <row r="7">
      <c r="A7" s="5" t="inlineStr">
        <is>
          <t>XAGUSD</t>
        </is>
      </c>
      <c r="B7" s="5" t="n">
        <v>1.53</v>
      </c>
      <c r="C7" s="5" t="n">
        <v>145</v>
      </c>
      <c r="D7" s="5">
        <f>ROUND(IF(C7&gt;0, (P7/C7)*100, 0), 2)</f>
        <v/>
      </c>
      <c r="E7" s="5" t="n">
        <v>2493.77</v>
      </c>
      <c r="F7" s="5" t="n">
        <v>752</v>
      </c>
      <c r="G7" s="5">
        <f>ROUND(F7*2, 2)</f>
        <v/>
      </c>
      <c r="H7" s="5">
        <f>ROUND(G7+E7, 2)</f>
        <v/>
      </c>
      <c r="I7" s="5">
        <f>ROUND(IF(G7&gt;0, (E7/G7)*100, 0), 2)</f>
        <v/>
      </c>
      <c r="J7" s="5">
        <f>ROUND(IF(AND(G7&gt;0, M7&gt;0), ((1+I7/100)^(1/M7)-1)*100, 0), 2)</f>
        <v/>
      </c>
      <c r="K7" s="5" t="n">
        <v>2.75</v>
      </c>
      <c r="L7" s="5" t="n">
        <v>2137</v>
      </c>
      <c r="M7" s="5">
        <f>ROUND(L7/365, 2)</f>
        <v/>
      </c>
      <c r="N7" s="5" t="inlineStr">
        <is>
          <t>2020-01-24</t>
        </is>
      </c>
      <c r="O7" s="5" t="inlineStr">
        <is>
          <t>2025-11-30</t>
        </is>
      </c>
      <c r="P7" s="5" t="n">
        <v>86</v>
      </c>
      <c r="Q7" s="5" t="n">
        <v>59</v>
      </c>
      <c r="R7" s="5">
        <f>ROUND(B7*SQRT(C7), 2)</f>
        <v/>
      </c>
    </row>
    <row r="8">
      <c r="A8" s="9" t="inlineStr">
        <is>
          <t>STRATEGY TOTAL</t>
        </is>
      </c>
      <c r="B8" s="9">
        <f>ROUND(AVERAGE(B6:B7), 2)</f>
        <v/>
      </c>
      <c r="C8" s="9">
        <f>SUM(C6:C7)</f>
        <v/>
      </c>
      <c r="D8" s="9">
        <f>ROUND(IF(C8&gt;0, (P8/C8)*100, 0), 2)</f>
        <v/>
      </c>
      <c r="E8" s="9">
        <f>ROUND(SUM(E6:E7), 2)</f>
        <v/>
      </c>
      <c r="F8" s="9">
        <f>ROUND(SUM(F6:F7), 2)</f>
        <v/>
      </c>
      <c r="G8" s="9">
        <f>ROUND(SUM(G6:G7), 2)</f>
        <v/>
      </c>
      <c r="H8" s="9">
        <f>ROUND(SUM(H6:H7), 2)</f>
        <v/>
      </c>
      <c r="I8" s="9">
        <f>ROUND(IF(G8&gt;0, (E8/G8)*100, 0), 2)</f>
        <v/>
      </c>
      <c r="J8" s="9">
        <f>ROUND(AVERAGE(J6:J7), 2)</f>
        <v/>
      </c>
      <c r="K8" s="9">
        <f>ROUND(AVERAGE(K6:K7), 2)</f>
        <v/>
      </c>
      <c r="L8" s="9" t="n"/>
      <c r="M8" s="9" t="n"/>
      <c r="N8" s="9" t="n"/>
      <c r="O8" s="9" t="n"/>
      <c r="P8" s="9">
        <f>SUM(P6:P7)</f>
        <v/>
      </c>
      <c r="Q8" s="9">
        <f>SUM(Q6:Q7)</f>
        <v/>
      </c>
      <c r="R8" s="9">
        <f>ROUND(B8*SQRT(C8), 2)</f>
        <v/>
      </c>
    </row>
    <row r="11">
      <c r="A11" s="10" t="inlineStr">
        <is>
          <t>Strategy: Falcon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>
      <c r="A12" s="8" t="inlineStr">
        <is>
          <t>Currency_Pair</t>
        </is>
      </c>
      <c r="B12" s="8" t="inlineStr">
        <is>
          <t>Sharpe_Ratio</t>
        </is>
      </c>
      <c r="C12" s="8" t="inlineStr">
        <is>
          <t>Total_Trades</t>
        </is>
      </c>
      <c r="D12" s="8" t="inlineStr">
        <is>
          <t>Win_Rate_%</t>
        </is>
      </c>
      <c r="E12" s="8" t="inlineStr">
        <is>
          <t>Total_Profit</t>
        </is>
      </c>
      <c r="F12" s="8" t="inlineStr">
        <is>
          <t>Max_Drawdown</t>
        </is>
      </c>
      <c r="G12" s="8" t="inlineStr">
        <is>
          <t>Initial_Capital</t>
        </is>
      </c>
      <c r="H12" s="8" t="inlineStr">
        <is>
          <t>Final_Balance</t>
        </is>
      </c>
      <c r="I12" s="8" t="inlineStr">
        <is>
          <t>Return_%</t>
        </is>
      </c>
      <c r="J12" s="8" t="inlineStr">
        <is>
          <t>XIRR_%</t>
        </is>
      </c>
      <c r="K12" s="8" t="inlineStr">
        <is>
          <t>Profit_Factor</t>
        </is>
      </c>
      <c r="L12" s="8" t="inlineStr">
        <is>
          <t>Trading_Days</t>
        </is>
      </c>
      <c r="M12" s="8" t="inlineStr">
        <is>
          <t>Trading_Years</t>
        </is>
      </c>
      <c r="N12" s="8" t="inlineStr">
        <is>
          <t>Start_Date</t>
        </is>
      </c>
      <c r="O12" s="8" t="inlineStr">
        <is>
          <t>End_Date</t>
        </is>
      </c>
      <c r="P12" s="8" t="inlineStr">
        <is>
          <t>Winning</t>
        </is>
      </c>
      <c r="Q12" s="8" t="inlineStr">
        <is>
          <t>Losing</t>
        </is>
      </c>
      <c r="R12" s="8" t="inlineStr">
        <is>
          <t>ALPHA</t>
        </is>
      </c>
    </row>
    <row r="13">
      <c r="A13" s="5" t="inlineStr">
        <is>
          <t>V5</t>
        </is>
      </c>
      <c r="B13" s="5" t="n">
        <v>1.26</v>
      </c>
      <c r="C13" s="5" t="n">
        <v>538</v>
      </c>
      <c r="D13" s="5">
        <f>ROUND(IF(C13&gt;0, (P13/C13)*100, 0), 2)</f>
        <v/>
      </c>
      <c r="E13" s="5" t="n">
        <v>1912</v>
      </c>
      <c r="F13" s="5" t="n">
        <v>556</v>
      </c>
      <c r="G13" s="5">
        <f>ROUND(F13*2, 2)</f>
        <v/>
      </c>
      <c r="H13" s="5">
        <f>ROUND(G13+E13, 2)</f>
        <v/>
      </c>
      <c r="I13" s="5">
        <f>ROUND(IF(G13&gt;0, (E13/G13)*100, 0), 2)</f>
        <v/>
      </c>
      <c r="J13" s="5">
        <f>ROUND(IF(AND(G13&gt;0, M13&gt;0), ((1+I13/100)^(1/M13)-1)*100, 0), 2)</f>
        <v/>
      </c>
      <c r="K13" s="5" t="n">
        <v>1.75</v>
      </c>
      <c r="L13" s="5" t="n">
        <v>1751</v>
      </c>
      <c r="M13" s="5">
        <f>ROUND(L13/365, 2)</f>
        <v/>
      </c>
      <c r="N13" s="5" t="inlineStr">
        <is>
          <t>2020-01-06</t>
        </is>
      </c>
      <c r="O13" s="5" t="inlineStr">
        <is>
          <t>2024-10-22</t>
        </is>
      </c>
      <c r="P13" s="5" t="n">
        <v>508</v>
      </c>
      <c r="Q13" s="5" t="n">
        <v>30</v>
      </c>
      <c r="R13" s="5">
        <f>ROUND(B13*SQRT(C13), 2)</f>
        <v/>
      </c>
    </row>
    <row r="14">
      <c r="A14" s="5" t="inlineStr">
        <is>
          <t>v5-v2 - Tp 60,SL 60 all day</t>
        </is>
      </c>
      <c r="B14" s="5" t="n">
        <v>0.85</v>
      </c>
      <c r="C14" s="5" t="n">
        <v>562</v>
      </c>
      <c r="D14" s="5">
        <f>ROUND(IF(C14&gt;0, (P14/C14)*100, 0), 2)</f>
        <v/>
      </c>
      <c r="E14" s="5" t="n">
        <v>7529.96</v>
      </c>
      <c r="F14" s="5" t="n">
        <v>2860</v>
      </c>
      <c r="G14" s="5">
        <f>ROUND(F14*2, 2)</f>
        <v/>
      </c>
      <c r="H14" s="5">
        <f>ROUND(G14+E14, 2)</f>
        <v/>
      </c>
      <c r="I14" s="5">
        <f>ROUND(IF(G14&gt;0, (E14/G14)*100, 0), 2)</f>
        <v/>
      </c>
      <c r="J14" s="5">
        <f>ROUND(IF(AND(G14&gt;0, M14&gt;0), ((1+I14/100)^(1/M14)-1)*100, 0), 2)</f>
        <v/>
      </c>
      <c r="K14" s="5" t="n">
        <v>1.29</v>
      </c>
      <c r="L14" s="5" t="n">
        <v>1821</v>
      </c>
      <c r="M14" s="5">
        <f>ROUND(L14/365, 2)</f>
        <v/>
      </c>
      <c r="N14" s="5" t="inlineStr">
        <is>
          <t>2020-01-06</t>
        </is>
      </c>
      <c r="O14" s="5" t="inlineStr">
        <is>
          <t>2024-12-31</t>
        </is>
      </c>
      <c r="P14" s="5" t="n">
        <v>206</v>
      </c>
      <c r="Q14" s="5" t="n">
        <v>356</v>
      </c>
      <c r="R14" s="5">
        <f>ROUND(B14*SQRT(C14), 2)</f>
        <v/>
      </c>
    </row>
    <row r="15">
      <c r="A15" s="9" t="inlineStr">
        <is>
          <t>STRATEGY TOTAL</t>
        </is>
      </c>
      <c r="B15" s="9">
        <f>ROUND(AVERAGE(B13:B14), 2)</f>
        <v/>
      </c>
      <c r="C15" s="9">
        <f>SUM(C13:C14)</f>
        <v/>
      </c>
      <c r="D15" s="9">
        <f>ROUND(IF(C15&gt;0, (P15/C15)*100, 0), 2)</f>
        <v/>
      </c>
      <c r="E15" s="9">
        <f>ROUND(SUM(E13:E14), 2)</f>
        <v/>
      </c>
      <c r="F15" s="9">
        <f>ROUND(SUM(F13:F14), 2)</f>
        <v/>
      </c>
      <c r="G15" s="9">
        <f>ROUND(SUM(G13:G14), 2)</f>
        <v/>
      </c>
      <c r="H15" s="9">
        <f>ROUND(SUM(H13:H14), 2)</f>
        <v/>
      </c>
      <c r="I15" s="9">
        <f>ROUND(IF(G15&gt;0, (E15/G15)*100, 0), 2)</f>
        <v/>
      </c>
      <c r="J15" s="9">
        <f>ROUND(AVERAGE(J13:J14), 2)</f>
        <v/>
      </c>
      <c r="K15" s="9">
        <f>ROUND(AVERAGE(K13:K14), 2)</f>
        <v/>
      </c>
      <c r="L15" s="9" t="n"/>
      <c r="M15" s="9" t="n"/>
      <c r="N15" s="9" t="n"/>
      <c r="O15" s="9" t="n"/>
      <c r="P15" s="9">
        <f>SUM(P13:P14)</f>
        <v/>
      </c>
      <c r="Q15" s="9">
        <f>SUM(Q13:Q14)</f>
        <v/>
      </c>
      <c r="R15" s="9">
        <f>ROUND(B15*SQRT(C15), 2)</f>
        <v/>
      </c>
    </row>
    <row r="18">
      <c r="A18" s="11" t="inlineStr">
        <is>
          <t>Strategy: Gold_Dip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</row>
    <row r="19">
      <c r="A19" s="8" t="inlineStr">
        <is>
          <t>Currency_Pair</t>
        </is>
      </c>
      <c r="B19" s="8" t="inlineStr">
        <is>
          <t>Sharpe_Ratio</t>
        </is>
      </c>
      <c r="C19" s="8" t="inlineStr">
        <is>
          <t>Total_Trades</t>
        </is>
      </c>
      <c r="D19" s="8" t="inlineStr">
        <is>
          <t>Win_Rate_%</t>
        </is>
      </c>
      <c r="E19" s="8" t="inlineStr">
        <is>
          <t>Total_Profit</t>
        </is>
      </c>
      <c r="F19" s="8" t="inlineStr">
        <is>
          <t>Max_Drawdown</t>
        </is>
      </c>
      <c r="G19" s="8" t="inlineStr">
        <is>
          <t>Initial_Capital</t>
        </is>
      </c>
      <c r="H19" s="8" t="inlineStr">
        <is>
          <t>Final_Balance</t>
        </is>
      </c>
      <c r="I19" s="8" t="inlineStr">
        <is>
          <t>Return_%</t>
        </is>
      </c>
      <c r="J19" s="8" t="inlineStr">
        <is>
          <t>XIRR_%</t>
        </is>
      </c>
      <c r="K19" s="8" t="inlineStr">
        <is>
          <t>Profit_Factor</t>
        </is>
      </c>
      <c r="L19" s="8" t="inlineStr">
        <is>
          <t>Trading_Days</t>
        </is>
      </c>
      <c r="M19" s="8" t="inlineStr">
        <is>
          <t>Trading_Years</t>
        </is>
      </c>
      <c r="N19" s="8" t="inlineStr">
        <is>
          <t>Start_Date</t>
        </is>
      </c>
      <c r="O19" s="8" t="inlineStr">
        <is>
          <t>End_Date</t>
        </is>
      </c>
      <c r="P19" s="8" t="inlineStr">
        <is>
          <t>Winning</t>
        </is>
      </c>
      <c r="Q19" s="8" t="inlineStr">
        <is>
          <t>Losing</t>
        </is>
      </c>
      <c r="R19" s="8" t="inlineStr">
        <is>
          <t>ALPHA</t>
        </is>
      </c>
    </row>
    <row r="20">
      <c r="A20" s="5" t="inlineStr">
        <is>
          <t>EURAUD</t>
        </is>
      </c>
      <c r="B20" s="5" t="n">
        <v>5.29</v>
      </c>
      <c r="C20" s="5" t="n">
        <v>301</v>
      </c>
      <c r="D20" s="5">
        <f>ROUND(IF(C20&gt;0, (P20/C20)*100, 0), 2)</f>
        <v/>
      </c>
      <c r="E20" s="5" t="n">
        <v>1364.46</v>
      </c>
      <c r="F20" s="5" t="n">
        <v>778</v>
      </c>
      <c r="G20" s="5">
        <f>ROUND(F20*2, 2)</f>
        <v/>
      </c>
      <c r="H20" s="5">
        <f>ROUND(G20+E20, 2)</f>
        <v/>
      </c>
      <c r="I20" s="5">
        <f>ROUND(IF(G20&gt;0, (E20/G20)*100, 0), 2)</f>
        <v/>
      </c>
      <c r="J20" s="5">
        <f>ROUND(IF(AND(G20&gt;0, M20&gt;0), ((1+I20/100)^(1/M20)-1)*100, 0), 2)</f>
        <v/>
      </c>
      <c r="K20" s="5" t="n">
        <v>5.79</v>
      </c>
      <c r="L20" s="5" t="n">
        <v>1881</v>
      </c>
      <c r="M20" s="5">
        <f>ROUND(L20/365, 2)</f>
        <v/>
      </c>
      <c r="N20" s="5" t="inlineStr">
        <is>
          <t>2020-02-28</t>
        </is>
      </c>
      <c r="O20" s="5" t="inlineStr">
        <is>
          <t>2025-04-23</t>
        </is>
      </c>
      <c r="P20" s="5" t="n">
        <v>250</v>
      </c>
      <c r="Q20" s="5" t="n">
        <v>51</v>
      </c>
      <c r="R20" s="5">
        <f>ROUND(B20*SQRT(C20), 2)</f>
        <v/>
      </c>
    </row>
    <row r="21">
      <c r="A21" s="5" t="inlineStr">
        <is>
          <t>GBPUSD</t>
        </is>
      </c>
      <c r="B21" s="5" t="n">
        <v>2.8</v>
      </c>
      <c r="C21" s="5" t="n">
        <v>124</v>
      </c>
      <c r="D21" s="5">
        <f>ROUND(IF(C21&gt;0, (P21/C21)*100, 0), 2)</f>
        <v/>
      </c>
      <c r="E21" s="5" t="n">
        <v>614.49</v>
      </c>
      <c r="F21" s="5" t="n">
        <v>408.1</v>
      </c>
      <c r="G21" s="5">
        <f>ROUND(F21*2, 2)</f>
        <v/>
      </c>
      <c r="H21" s="5">
        <f>ROUND(G21+E21, 2)</f>
        <v/>
      </c>
      <c r="I21" s="5">
        <f>ROUND(IF(G21&gt;0, (E21/G21)*100, 0), 2)</f>
        <v/>
      </c>
      <c r="J21" s="5">
        <f>ROUND(IF(AND(G21&gt;0, M21&gt;0), ((1+I21/100)^(1/M21)-1)*100, 0), 2)</f>
        <v/>
      </c>
      <c r="K21" s="5" t="n">
        <v>4.7</v>
      </c>
      <c r="L21" s="5" t="n">
        <v>1858</v>
      </c>
      <c r="M21" s="5">
        <f>ROUND(L21/365, 2)</f>
        <v/>
      </c>
      <c r="N21" s="5" t="inlineStr">
        <is>
          <t>2020-02-06</t>
        </is>
      </c>
      <c r="O21" s="5" t="inlineStr">
        <is>
          <t>2025-03-10</t>
        </is>
      </c>
      <c r="P21" s="5" t="n">
        <v>101</v>
      </c>
      <c r="Q21" s="5" t="n">
        <v>23</v>
      </c>
      <c r="R21" s="5">
        <f>ROUND(B21*SQRT(C21), 2)</f>
        <v/>
      </c>
    </row>
    <row r="22">
      <c r="A22" s="5" t="inlineStr">
        <is>
          <t>EURUSD</t>
        </is>
      </c>
      <c r="B22" s="5" t="n">
        <v>3.56</v>
      </c>
      <c r="C22" s="5" t="n">
        <v>109</v>
      </c>
      <c r="D22" s="5">
        <f>ROUND(IF(C22&gt;0, (P22/C22)*100, 0), 2)</f>
        <v/>
      </c>
      <c r="E22" s="5" t="n">
        <v>447.57</v>
      </c>
      <c r="F22" s="5" t="n">
        <v>154.8</v>
      </c>
      <c r="G22" s="5">
        <f>ROUND(F22*2, 2)</f>
        <v/>
      </c>
      <c r="H22" s="5">
        <f>ROUND(G22+E22, 2)</f>
        <v/>
      </c>
      <c r="I22" s="5">
        <f>ROUND(IF(G22&gt;0, (E22/G22)*100, 0), 2)</f>
        <v/>
      </c>
      <c r="J22" s="5">
        <f>ROUND(IF(AND(G22&gt;0, M22&gt;0), ((1+I22/100)^(1/M22)-1)*100, 0), 2)</f>
        <v/>
      </c>
      <c r="K22" s="5" t="n">
        <v>6.98</v>
      </c>
      <c r="L22" s="5" t="n">
        <v>1901</v>
      </c>
      <c r="M22" s="5">
        <f>ROUND(L22/365, 2)</f>
        <v/>
      </c>
      <c r="N22" s="5" t="inlineStr">
        <is>
          <t>2020-02-28</t>
        </is>
      </c>
      <c r="O22" s="5" t="inlineStr">
        <is>
          <t>2025-05-13</t>
        </is>
      </c>
      <c r="P22" s="5" t="n">
        <v>90</v>
      </c>
      <c r="Q22" s="5" t="n">
        <v>19</v>
      </c>
      <c r="R22" s="5">
        <f>ROUND(B22*SQRT(C22), 2)</f>
        <v/>
      </c>
    </row>
    <row r="23">
      <c r="A23" s="5" t="inlineStr">
        <is>
          <t>EURJPY</t>
        </is>
      </c>
      <c r="B23" s="5" t="n">
        <v>4.52</v>
      </c>
      <c r="C23" s="5" t="n">
        <v>106</v>
      </c>
      <c r="D23" s="5">
        <f>ROUND(IF(C23&gt;0, (P23/C23)*100, 0), 2)</f>
        <v/>
      </c>
      <c r="E23" s="5" t="n">
        <v>418.73</v>
      </c>
      <c r="F23" s="5" t="n">
        <v>93.2</v>
      </c>
      <c r="G23" s="5">
        <f>ROUND(F23*2, 2)</f>
        <v/>
      </c>
      <c r="H23" s="5">
        <f>ROUND(G23+E23, 2)</f>
        <v/>
      </c>
      <c r="I23" s="5">
        <f>ROUND(IF(G23&gt;0, (E23/G23)*100, 0), 2)</f>
        <v/>
      </c>
      <c r="J23" s="5">
        <f>ROUND(IF(AND(G23&gt;0, M23&gt;0), ((1+I23/100)^(1/M23)-1)*100, 0), 2)</f>
        <v/>
      </c>
      <c r="K23" s="5" t="n">
        <v>10.31</v>
      </c>
      <c r="L23" s="5" t="n">
        <v>1857</v>
      </c>
      <c r="M23" s="5">
        <f>ROUND(L23/365, 2)</f>
        <v/>
      </c>
      <c r="N23" s="5" t="inlineStr">
        <is>
          <t>2020-03-09</t>
        </is>
      </c>
      <c r="O23" s="5" t="inlineStr">
        <is>
          <t>2025-04-09</t>
        </is>
      </c>
      <c r="P23" s="5" t="n">
        <v>93</v>
      </c>
      <c r="Q23" s="5" t="n">
        <v>13</v>
      </c>
      <c r="R23" s="5">
        <f>ROUND(B23*SQRT(C23), 2)</f>
        <v/>
      </c>
    </row>
    <row r="24">
      <c r="A24" s="5" t="inlineStr">
        <is>
          <t>AUDJPY</t>
        </is>
      </c>
      <c r="B24" s="5" t="n">
        <v>3.27</v>
      </c>
      <c r="C24" s="5" t="n">
        <v>132</v>
      </c>
      <c r="D24" s="5">
        <f>ROUND(IF(C24&gt;0, (P24/C24)*100, 0), 2)</f>
        <v/>
      </c>
      <c r="E24" s="5" t="n">
        <v>379.31</v>
      </c>
      <c r="F24" s="5" t="n">
        <v>289.6</v>
      </c>
      <c r="G24" s="5">
        <f>ROUND(F24*2, 2)</f>
        <v/>
      </c>
      <c r="H24" s="5">
        <f>ROUND(G24+E24, 2)</f>
        <v/>
      </c>
      <c r="I24" s="5">
        <f>ROUND(IF(G24&gt;0, (E24/G24)*100, 0), 2)</f>
        <v/>
      </c>
      <c r="J24" s="5">
        <f>ROUND(IF(AND(G24&gt;0, M24&gt;0), ((1+I24/100)^(1/M24)-1)*100, 0), 2)</f>
        <v/>
      </c>
      <c r="K24" s="5" t="n">
        <v>5.08</v>
      </c>
      <c r="L24" s="5" t="n">
        <v>1954</v>
      </c>
      <c r="M24" s="5">
        <f>ROUND(L24/365, 2)</f>
        <v/>
      </c>
      <c r="N24" s="5" t="inlineStr">
        <is>
          <t>2020-02-05</t>
        </is>
      </c>
      <c r="O24" s="5" t="inlineStr">
        <is>
          <t>2025-06-13</t>
        </is>
      </c>
      <c r="P24" s="5" t="n">
        <v>108</v>
      </c>
      <c r="Q24" s="5" t="n">
        <v>24</v>
      </c>
      <c r="R24" s="5">
        <f>ROUND(B24*SQRT(C24), 2)</f>
        <v/>
      </c>
    </row>
    <row r="25">
      <c r="A25" s="5" t="inlineStr">
        <is>
          <t>EURCHF</t>
        </is>
      </c>
      <c r="B25" s="5" t="n">
        <v>5.26</v>
      </c>
      <c r="C25" s="5" t="n">
        <v>113</v>
      </c>
      <c r="D25" s="5">
        <f>ROUND(IF(C25&gt;0, (P25/C25)*100, 0), 2)</f>
        <v/>
      </c>
      <c r="E25" s="5" t="n">
        <v>552.72</v>
      </c>
      <c r="F25" s="5" t="n">
        <v>116.2</v>
      </c>
      <c r="G25" s="5">
        <f>ROUND(F25*2, 2)</f>
        <v/>
      </c>
      <c r="H25" s="5">
        <f>ROUND(G25+E25, 2)</f>
        <v/>
      </c>
      <c r="I25" s="5">
        <f>ROUND(IF(G25&gt;0, (E25/G25)*100, 0), 2)</f>
        <v/>
      </c>
      <c r="J25" s="5">
        <f>ROUND(IF(AND(G25&gt;0, M25&gt;0), ((1+I25/100)^(1/M25)-1)*100, 0), 2)</f>
        <v/>
      </c>
      <c r="K25" s="5" t="n">
        <v>14.14</v>
      </c>
      <c r="L25" s="5" t="n">
        <v>1842</v>
      </c>
      <c r="M25" s="5">
        <f>ROUND(L25/365, 2)</f>
        <v/>
      </c>
      <c r="N25" s="5" t="inlineStr">
        <is>
          <t>2020-05-27</t>
        </is>
      </c>
      <c r="O25" s="5" t="inlineStr">
        <is>
          <t>2025-06-13</t>
        </is>
      </c>
      <c r="P25" s="5" t="n">
        <v>100</v>
      </c>
      <c r="Q25" s="5" t="n">
        <v>13</v>
      </c>
      <c r="R25" s="5">
        <f>ROUND(B25*SQRT(C25), 2)</f>
        <v/>
      </c>
    </row>
    <row r="26">
      <c r="A26" s="5" t="inlineStr">
        <is>
          <t>USDCAD</t>
        </is>
      </c>
      <c r="B26" s="5" t="n">
        <v>7.21</v>
      </c>
      <c r="C26" s="5" t="n">
        <v>265</v>
      </c>
      <c r="D26" s="5">
        <f>ROUND(IF(C26&gt;0, (P26/C26)*100, 0), 2)</f>
        <v/>
      </c>
      <c r="E26" s="5" t="n">
        <v>1000.41</v>
      </c>
      <c r="F26" s="5" t="n">
        <v>356.6</v>
      </c>
      <c r="G26" s="5">
        <f>ROUND(F26*2, 2)</f>
        <v/>
      </c>
      <c r="H26" s="5">
        <f>ROUND(G26+E26, 2)</f>
        <v/>
      </c>
      <c r="I26" s="5">
        <f>ROUND(IF(G26&gt;0, (E26/G26)*100, 0), 2)</f>
        <v/>
      </c>
      <c r="J26" s="5">
        <f>ROUND(IF(AND(G26&gt;0, M26&gt;0), ((1+I26/100)^(1/M26)-1)*100, 0), 2)</f>
        <v/>
      </c>
      <c r="K26" s="5" t="n">
        <v>10.7</v>
      </c>
      <c r="L26" s="5" t="n">
        <v>1978</v>
      </c>
      <c r="M26" s="5">
        <f>ROUND(L26/365, 2)</f>
        <v/>
      </c>
      <c r="N26" s="5" t="inlineStr">
        <is>
          <t>2020-01-09</t>
        </is>
      </c>
      <c r="O26" s="5" t="inlineStr">
        <is>
          <t>2025-06-10</t>
        </is>
      </c>
      <c r="P26" s="5" t="n">
        <v>230</v>
      </c>
      <c r="Q26" s="5" t="n">
        <v>35</v>
      </c>
      <c r="R26" s="5">
        <f>ROUND(B26*SQRT(C26), 2)</f>
        <v/>
      </c>
    </row>
    <row r="27">
      <c r="A27" s="5" t="inlineStr">
        <is>
          <t>AUDUSD</t>
        </is>
      </c>
      <c r="B27" s="5" t="n">
        <v>7.78</v>
      </c>
      <c r="C27" s="5" t="n">
        <v>669</v>
      </c>
      <c r="D27" s="5">
        <f>ROUND(IF(C27&gt;0, (P27/C27)*100, 0), 2)</f>
        <v/>
      </c>
      <c r="E27" s="5" t="n">
        <v>1812.78</v>
      </c>
      <c r="F27" s="5" t="n">
        <v>459.6</v>
      </c>
      <c r="G27" s="5">
        <f>ROUND(F27*2, 2)</f>
        <v/>
      </c>
      <c r="H27" s="5">
        <f>ROUND(G27+E27, 2)</f>
        <v/>
      </c>
      <c r="I27" s="5">
        <f>ROUND(IF(G27&gt;0, (E27/G27)*100, 0), 2)</f>
        <v/>
      </c>
      <c r="J27" s="5">
        <f>ROUND(IF(AND(G27&gt;0, M27&gt;0), ((1+I27/100)^(1/M27)-1)*100, 0), 2)</f>
        <v/>
      </c>
      <c r="K27" s="5" t="n">
        <v>5.75</v>
      </c>
      <c r="L27" s="5" t="n">
        <v>1969</v>
      </c>
      <c r="M27" s="5">
        <f>ROUND(L27/365, 2)</f>
        <v/>
      </c>
      <c r="N27" s="5" t="inlineStr">
        <is>
          <t>2020-01-28</t>
        </is>
      </c>
      <c r="O27" s="5" t="inlineStr">
        <is>
          <t>2025-06-20</t>
        </is>
      </c>
      <c r="P27" s="5" t="n">
        <v>556</v>
      </c>
      <c r="Q27" s="5" t="n">
        <v>113</v>
      </c>
      <c r="R27" s="5">
        <f>ROUND(B27*SQRT(C27), 2)</f>
        <v/>
      </c>
    </row>
    <row r="28">
      <c r="A28" s="9" t="inlineStr">
        <is>
          <t>STRATEGY TOTAL</t>
        </is>
      </c>
      <c r="B28" s="9">
        <f>ROUND(AVERAGE(B20:B27), 2)</f>
        <v/>
      </c>
      <c r="C28" s="9">
        <f>SUM(C20:C27)</f>
        <v/>
      </c>
      <c r="D28" s="9">
        <f>ROUND(IF(C28&gt;0, (P28/C28)*100, 0), 2)</f>
        <v/>
      </c>
      <c r="E28" s="9">
        <f>ROUND(SUM(E20:E27), 2)</f>
        <v/>
      </c>
      <c r="F28" s="9">
        <f>ROUND(SUM(F20:F27), 2)</f>
        <v/>
      </c>
      <c r="G28" s="9">
        <f>ROUND(SUM(G20:G27), 2)</f>
        <v/>
      </c>
      <c r="H28" s="9">
        <f>ROUND(SUM(H20:H27), 2)</f>
        <v/>
      </c>
      <c r="I28" s="9">
        <f>ROUND(IF(G28&gt;0, (E28/G28)*100, 0), 2)</f>
        <v/>
      </c>
      <c r="J28" s="9">
        <f>ROUND(AVERAGE(J20:J27), 2)</f>
        <v/>
      </c>
      <c r="K28" s="9">
        <f>ROUND(AVERAGE(K20:K27), 2)</f>
        <v/>
      </c>
      <c r="L28" s="9" t="n"/>
      <c r="M28" s="9" t="n"/>
      <c r="N28" s="9" t="n"/>
      <c r="O28" s="9" t="n"/>
      <c r="P28" s="9">
        <f>SUM(P20:P27)</f>
        <v/>
      </c>
      <c r="Q28" s="9">
        <f>SUM(Q20:Q27)</f>
        <v/>
      </c>
      <c r="R28" s="9">
        <f>ROUND(B28*SQRT(C28), 2)</f>
        <v/>
      </c>
    </row>
    <row r="31">
      <c r="A31" s="18" t="inlineStr">
        <is>
          <t>Strategy: RSI_Correlation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</row>
    <row r="32">
      <c r="A32" s="8" t="inlineStr">
        <is>
          <t>Currency_Pair</t>
        </is>
      </c>
      <c r="B32" s="8" t="inlineStr">
        <is>
          <t>Sharpe_Ratio</t>
        </is>
      </c>
      <c r="C32" s="8" t="inlineStr">
        <is>
          <t>Total_Trades</t>
        </is>
      </c>
      <c r="D32" s="8" t="inlineStr">
        <is>
          <t>Win_Rate_%</t>
        </is>
      </c>
      <c r="E32" s="8" t="inlineStr">
        <is>
          <t>Total_Profit</t>
        </is>
      </c>
      <c r="F32" s="8" t="inlineStr">
        <is>
          <t>Max_Drawdown</t>
        </is>
      </c>
      <c r="G32" s="8" t="inlineStr">
        <is>
          <t>Initial_Capital</t>
        </is>
      </c>
      <c r="H32" s="8" t="inlineStr">
        <is>
          <t>Final_Balance</t>
        </is>
      </c>
      <c r="I32" s="8" t="inlineStr">
        <is>
          <t>Return_%</t>
        </is>
      </c>
      <c r="J32" s="8" t="inlineStr">
        <is>
          <t>XIRR_%</t>
        </is>
      </c>
      <c r="K32" s="8" t="inlineStr">
        <is>
          <t>Profit_Factor</t>
        </is>
      </c>
      <c r="L32" s="8" t="inlineStr">
        <is>
          <t>Trading_Days</t>
        </is>
      </c>
      <c r="M32" s="8" t="inlineStr">
        <is>
          <t>Trading_Years</t>
        </is>
      </c>
      <c r="N32" s="8" t="inlineStr">
        <is>
          <t>Start_Date</t>
        </is>
      </c>
      <c r="O32" s="8" t="inlineStr">
        <is>
          <t>End_Date</t>
        </is>
      </c>
      <c r="P32" s="8" t="inlineStr">
        <is>
          <t>Winning</t>
        </is>
      </c>
      <c r="Q32" s="8" t="inlineStr">
        <is>
          <t>Losing</t>
        </is>
      </c>
      <c r="R32" s="8" t="inlineStr">
        <is>
          <t>ALPHA</t>
        </is>
      </c>
    </row>
    <row r="33">
      <c r="A33" s="5" t="inlineStr">
        <is>
          <t>AUDUSD_GBPNZD</t>
        </is>
      </c>
      <c r="B33" s="5" t="n">
        <v>1.44</v>
      </c>
      <c r="C33" s="5" t="n">
        <v>400</v>
      </c>
      <c r="D33" s="5">
        <f>ROUND(IF(C33&gt;0, (P33/C33)*100, 0), 2)</f>
        <v/>
      </c>
      <c r="E33" s="5" t="n">
        <v>40.97</v>
      </c>
      <c r="F33" s="5" t="n">
        <v>19.28</v>
      </c>
      <c r="G33" s="5">
        <f>ROUND(F33*2, 2)</f>
        <v/>
      </c>
      <c r="H33" s="5">
        <f>ROUND(G33+E33, 2)</f>
        <v/>
      </c>
      <c r="I33" s="5">
        <f>ROUND(IF(G33&gt;0, (E33/G33)*100, 0), 2)</f>
        <v/>
      </c>
      <c r="J33" s="5">
        <f>ROUND(IF(AND(G33&gt;0, M33&gt;0), ((1+I33/100)^(1/M33)-1)*100, 0), 2)</f>
        <v/>
      </c>
      <c r="K33" s="5" t="n">
        <v>1.99</v>
      </c>
      <c r="L33" s="5" t="n">
        <v>2163</v>
      </c>
      <c r="M33" s="5">
        <f>ROUND(L33/365, 2)</f>
        <v/>
      </c>
      <c r="N33" s="5" t="inlineStr">
        <is>
          <t>2020-01-01</t>
        </is>
      </c>
      <c r="O33" s="5" t="inlineStr">
        <is>
          <t>2025-12-03</t>
        </is>
      </c>
      <c r="P33" s="5" t="n">
        <v>266</v>
      </c>
      <c r="Q33" s="5" t="n">
        <v>134</v>
      </c>
      <c r="R33" s="5">
        <f>ROUND(B33*SQRT(C33), 2)</f>
        <v/>
      </c>
    </row>
    <row r="34">
      <c r="A34" s="5" t="inlineStr">
        <is>
          <t>EURAUD_CADCHF</t>
        </is>
      </c>
      <c r="B34" s="5" t="n">
        <v>0.84</v>
      </c>
      <c r="C34" s="5" t="n">
        <v>354</v>
      </c>
      <c r="D34" s="5">
        <f>ROUND(IF(C34&gt;0, (P34/C34)*100, 0), 2)</f>
        <v/>
      </c>
      <c r="E34" s="5" t="n">
        <v>34.59</v>
      </c>
      <c r="F34" s="5" t="n">
        <v>23.23</v>
      </c>
      <c r="G34" s="5">
        <f>ROUND(F34*2, 2)</f>
        <v/>
      </c>
      <c r="H34" s="5">
        <f>ROUND(G34+E34, 2)</f>
        <v/>
      </c>
      <c r="I34" s="5">
        <f>ROUND(IF(G34&gt;0, (E34/G34)*100, 0), 2)</f>
        <v/>
      </c>
      <c r="J34" s="5">
        <f>ROUND(IF(AND(G34&gt;0, M34&gt;0), ((1+I34/100)^(1/M34)-1)*100, 0), 2)</f>
        <v/>
      </c>
      <c r="K34" s="5" t="n">
        <v>1.68</v>
      </c>
      <c r="L34" s="5" t="n">
        <v>2158</v>
      </c>
      <c r="M34" s="5">
        <f>ROUND(L34/365, 2)</f>
        <v/>
      </c>
      <c r="N34" s="5" t="inlineStr">
        <is>
          <t>2020-01-01</t>
        </is>
      </c>
      <c r="O34" s="5" t="inlineStr">
        <is>
          <t>2025-11-28</t>
        </is>
      </c>
      <c r="P34" s="5" t="n">
        <v>222</v>
      </c>
      <c r="Q34" s="5" t="n">
        <v>132</v>
      </c>
      <c r="R34" s="5">
        <f>ROUND(B34*SQRT(C34), 2)</f>
        <v/>
      </c>
    </row>
    <row r="35">
      <c r="A35" s="5" t="inlineStr">
        <is>
          <t>EURGBP_GBPCHF</t>
        </is>
      </c>
      <c r="B35" s="5" t="n">
        <v>0.9</v>
      </c>
      <c r="C35" s="5" t="n">
        <v>301</v>
      </c>
      <c r="D35" s="5">
        <f>ROUND(IF(C35&gt;0, (P35/C35)*100, 0), 2)</f>
        <v/>
      </c>
      <c r="E35" s="5" t="n">
        <v>21.36</v>
      </c>
      <c r="F35" s="5" t="n">
        <v>17.09</v>
      </c>
      <c r="G35" s="5">
        <f>ROUND(F35*2, 2)</f>
        <v/>
      </c>
      <c r="H35" s="5">
        <f>ROUND(G35+E35, 2)</f>
        <v/>
      </c>
      <c r="I35" s="5">
        <f>ROUND(IF(G35&gt;0, (E35/G35)*100, 0), 2)</f>
        <v/>
      </c>
      <c r="J35" s="5">
        <f>ROUND(IF(AND(G35&gt;0, M35&gt;0), ((1+I35/100)^(1/M35)-1)*100, 0), 2)</f>
        <v/>
      </c>
      <c r="K35" s="5" t="n">
        <v>1.41</v>
      </c>
      <c r="L35" s="5" t="n">
        <v>2186</v>
      </c>
      <c r="M35" s="5">
        <f>ROUND(L35/365, 2)</f>
        <v/>
      </c>
      <c r="N35" s="5" t="inlineStr">
        <is>
          <t>2020-01-01</t>
        </is>
      </c>
      <c r="O35" s="5" t="inlineStr">
        <is>
          <t>2025-12-26</t>
        </is>
      </c>
      <c r="P35" s="5" t="n">
        <v>176</v>
      </c>
      <c r="Q35" s="5" t="n">
        <v>125</v>
      </c>
      <c r="R35" s="5">
        <f>ROUND(B35*SQRT(C35), 2)</f>
        <v/>
      </c>
    </row>
    <row r="36">
      <c r="A36" s="5" t="inlineStr">
        <is>
          <t>GBPUSD_USDCAD</t>
        </is>
      </c>
      <c r="B36" s="5" t="n">
        <v>0.95</v>
      </c>
      <c r="C36" s="5" t="n">
        <v>192</v>
      </c>
      <c r="D36" s="5">
        <f>ROUND(IF(C36&gt;0, (P36/C36)*100, 0), 2)</f>
        <v/>
      </c>
      <c r="E36" s="5" t="n">
        <v>18.89</v>
      </c>
      <c r="F36" s="5" t="n">
        <v>20.25</v>
      </c>
      <c r="G36" s="5">
        <f>ROUND(F36*2, 2)</f>
        <v/>
      </c>
      <c r="H36" s="5">
        <f>ROUND(G36+E36, 2)</f>
        <v/>
      </c>
      <c r="I36" s="5">
        <f>ROUND(IF(G36&gt;0, (E36/G36)*100, 0), 2)</f>
        <v/>
      </c>
      <c r="J36" s="5">
        <f>ROUND(IF(AND(G36&gt;0, M36&gt;0), ((1+I36/100)^(1/M36)-1)*100, 0), 2)</f>
        <v/>
      </c>
      <c r="K36" s="5" t="n">
        <v>1.91</v>
      </c>
      <c r="L36" s="5" t="n">
        <v>2098</v>
      </c>
      <c r="M36" s="5">
        <f>ROUND(L36/365, 2)</f>
        <v/>
      </c>
      <c r="N36" s="5" t="inlineStr">
        <is>
          <t>2020-01-01</t>
        </is>
      </c>
      <c r="O36" s="5" t="inlineStr">
        <is>
          <t>2025-09-29</t>
        </is>
      </c>
      <c r="P36" s="5" t="n">
        <v>126</v>
      </c>
      <c r="Q36" s="5" t="n">
        <v>66</v>
      </c>
      <c r="R36" s="5">
        <f>ROUND(B36*SQRT(C36), 2)</f>
        <v/>
      </c>
    </row>
    <row r="37">
      <c r="A37" s="5" t="inlineStr">
        <is>
          <t>GBPUSD_USDCHF</t>
        </is>
      </c>
      <c r="B37" s="5" t="n">
        <v>0.85</v>
      </c>
      <c r="C37" s="5" t="n">
        <v>218</v>
      </c>
      <c r="D37" s="5">
        <f>ROUND(IF(C37&gt;0, (P37/C37)*100, 0), 2)</f>
        <v/>
      </c>
      <c r="E37" s="5" t="n">
        <v>24.37</v>
      </c>
      <c r="F37" s="5" t="n">
        <v>16.83</v>
      </c>
      <c r="G37" s="5">
        <f>ROUND(F37*2, 2)</f>
        <v/>
      </c>
      <c r="H37" s="5">
        <f>ROUND(G37+E37, 2)</f>
        <v/>
      </c>
      <c r="I37" s="5">
        <f>ROUND(IF(G37&gt;0, (E37/G37)*100, 0), 2)</f>
        <v/>
      </c>
      <c r="J37" s="5">
        <f>ROUND(IF(AND(G37&gt;0, M37&gt;0), ((1+I37/100)^(1/M37)-1)*100, 0), 2)</f>
        <v/>
      </c>
      <c r="K37" s="5" t="n">
        <v>1.69</v>
      </c>
      <c r="L37" s="5" t="n">
        <v>2163</v>
      </c>
      <c r="M37" s="5">
        <f>ROUND(L37/365, 2)</f>
        <v/>
      </c>
      <c r="N37" s="5" t="inlineStr">
        <is>
          <t>2020-01-01</t>
        </is>
      </c>
      <c r="O37" s="5" t="inlineStr">
        <is>
          <t>2025-12-03</t>
        </is>
      </c>
      <c r="P37" s="5" t="n">
        <v>137</v>
      </c>
      <c r="Q37" s="5" t="n">
        <v>81</v>
      </c>
      <c r="R37" s="5">
        <f>ROUND(B37*SQRT(C37), 2)</f>
        <v/>
      </c>
    </row>
    <row r="38">
      <c r="A38" s="5" t="inlineStr">
        <is>
          <t>USDCAD_AUDCHF</t>
        </is>
      </c>
      <c r="B38" s="5" t="n">
        <v>0.9</v>
      </c>
      <c r="C38" s="5" t="n">
        <v>258</v>
      </c>
      <c r="D38" s="5">
        <f>ROUND(IF(C38&gt;0, (P38/C38)*100, 0), 2)</f>
        <v/>
      </c>
      <c r="E38" s="5" t="n">
        <v>24.06</v>
      </c>
      <c r="F38" s="5" t="n">
        <v>6.34</v>
      </c>
      <c r="G38" s="5">
        <f>ROUND(F38*2, 2)</f>
        <v/>
      </c>
      <c r="H38" s="5">
        <f>ROUND(G38+E38, 2)</f>
        <v/>
      </c>
      <c r="I38" s="5">
        <f>ROUND(IF(G38&gt;0, (E38/G38)*100, 0), 2)</f>
        <v/>
      </c>
      <c r="J38" s="5">
        <f>ROUND(IF(AND(G38&gt;0, M38&gt;0), ((1+I38/100)^(1/M38)-1)*100, 0), 2)</f>
        <v/>
      </c>
      <c r="K38" s="5" t="n">
        <v>1.8</v>
      </c>
      <c r="L38" s="5" t="n">
        <v>2165</v>
      </c>
      <c r="M38" s="5">
        <f>ROUND(L38/365, 2)</f>
        <v/>
      </c>
      <c r="N38" s="5" t="inlineStr">
        <is>
          <t>2020-01-01</t>
        </is>
      </c>
      <c r="O38" s="5" t="inlineStr">
        <is>
          <t>2025-12-05</t>
        </is>
      </c>
      <c r="P38" s="5" t="n">
        <v>166</v>
      </c>
      <c r="Q38" s="5" t="n">
        <v>92</v>
      </c>
      <c r="R38" s="5">
        <f>ROUND(B38*SQRT(C38), 2)</f>
        <v/>
      </c>
    </row>
    <row r="39">
      <c r="A39" s="9" t="inlineStr">
        <is>
          <t>STRATEGY TOTAL</t>
        </is>
      </c>
      <c r="B39" s="9">
        <f>ROUND(AVERAGE(B33:B38), 2)</f>
        <v/>
      </c>
      <c r="C39" s="9">
        <f>SUM(C33:C38)</f>
        <v/>
      </c>
      <c r="D39" s="9">
        <f>ROUND(IF(C39&gt;0, (P39/C39)*100, 0), 2)</f>
        <v/>
      </c>
      <c r="E39" s="9">
        <f>ROUND(SUM(E33:E38), 2)</f>
        <v/>
      </c>
      <c r="F39" s="9">
        <f>ROUND(SUM(F33:F38), 2)</f>
        <v/>
      </c>
      <c r="G39" s="9">
        <f>ROUND(SUM(G33:G38), 2)</f>
        <v/>
      </c>
      <c r="H39" s="9">
        <f>ROUND(SUM(H33:H38), 2)</f>
        <v/>
      </c>
      <c r="I39" s="9">
        <f>ROUND(IF(G39&gt;0, (E39/G39)*100, 0), 2)</f>
        <v/>
      </c>
      <c r="J39" s="9">
        <f>ROUND(AVERAGE(J33:J38), 2)</f>
        <v/>
      </c>
      <c r="K39" s="9">
        <f>ROUND(AVERAGE(K33:K38), 2)</f>
        <v/>
      </c>
      <c r="L39" s="9" t="n"/>
      <c r="M39" s="9" t="n"/>
      <c r="N39" s="9" t="n"/>
      <c r="O39" s="9" t="n"/>
      <c r="P39" s="9">
        <f>SUM(P33:P38)</f>
        <v/>
      </c>
      <c r="Q39" s="9">
        <f>SUM(Q33:Q38)</f>
        <v/>
      </c>
      <c r="R39" s="9">
        <f>ROUND(B39*SQRT(C39), 2)</f>
        <v/>
      </c>
    </row>
    <row r="42">
      <c r="A42" s="19" t="inlineStr">
        <is>
          <t>Strategy: RSI_6_Trades</t>
        </is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</row>
    <row r="43">
      <c r="A43" s="8" t="inlineStr">
        <is>
          <t>Currency_Pair</t>
        </is>
      </c>
      <c r="B43" s="8" t="inlineStr">
        <is>
          <t>Sharpe_Ratio</t>
        </is>
      </c>
      <c r="C43" s="8" t="inlineStr">
        <is>
          <t>Total_Trades</t>
        </is>
      </c>
      <c r="D43" s="8" t="inlineStr">
        <is>
          <t>Win_Rate_%</t>
        </is>
      </c>
      <c r="E43" s="8" t="inlineStr">
        <is>
          <t>Total_Profit</t>
        </is>
      </c>
      <c r="F43" s="8" t="inlineStr">
        <is>
          <t>Max_Drawdown</t>
        </is>
      </c>
      <c r="G43" s="8" t="inlineStr">
        <is>
          <t>Initial_Capital</t>
        </is>
      </c>
      <c r="H43" s="8" t="inlineStr">
        <is>
          <t>Final_Balance</t>
        </is>
      </c>
      <c r="I43" s="8" t="inlineStr">
        <is>
          <t>Return_%</t>
        </is>
      </c>
      <c r="J43" s="8" t="inlineStr">
        <is>
          <t>XIRR_%</t>
        </is>
      </c>
      <c r="K43" s="8" t="inlineStr">
        <is>
          <t>Profit_Factor</t>
        </is>
      </c>
      <c r="L43" s="8" t="inlineStr">
        <is>
          <t>Trading_Days</t>
        </is>
      </c>
      <c r="M43" s="8" t="inlineStr">
        <is>
          <t>Trading_Years</t>
        </is>
      </c>
      <c r="N43" s="8" t="inlineStr">
        <is>
          <t>Start_Date</t>
        </is>
      </c>
      <c r="O43" s="8" t="inlineStr">
        <is>
          <t>End_Date</t>
        </is>
      </c>
      <c r="P43" s="8" t="inlineStr">
        <is>
          <t>Winning</t>
        </is>
      </c>
      <c r="Q43" s="8" t="inlineStr">
        <is>
          <t>Losing</t>
        </is>
      </c>
      <c r="R43" s="8" t="inlineStr">
        <is>
          <t>ALPHA</t>
        </is>
      </c>
    </row>
    <row r="44">
      <c r="A44" s="5" t="inlineStr">
        <is>
          <t>GBPAUD</t>
        </is>
      </c>
      <c r="B44" s="5" t="n">
        <v>2.61</v>
      </c>
      <c r="C44" s="5" t="n">
        <v>234</v>
      </c>
      <c r="D44" s="5">
        <f>ROUND(IF(C44&gt;0, (P44/C44)*100, 0), 2)</f>
        <v/>
      </c>
      <c r="E44" s="5" t="n">
        <v>475.29</v>
      </c>
      <c r="F44" s="5" t="n">
        <v>323.61</v>
      </c>
      <c r="G44" s="5">
        <f>ROUND(F44*2, 2)</f>
        <v/>
      </c>
      <c r="H44" s="5">
        <f>ROUND(G44+E44, 2)</f>
        <v/>
      </c>
      <c r="I44" s="5">
        <f>ROUND(IF(G44&gt;0, (E44/G44)*100, 0), 2)</f>
        <v/>
      </c>
      <c r="J44" s="5">
        <f>ROUND(IF(AND(G44&gt;0, M44&gt;0), ((1+I44/100)^(1/M44)-1)*100, 0), 2)</f>
        <v/>
      </c>
      <c r="K44" s="5" t="n">
        <v>3.26</v>
      </c>
      <c r="L44" s="5" t="n">
        <v>2080</v>
      </c>
      <c r="M44" s="5">
        <f>ROUND(L44/365, 2)</f>
        <v/>
      </c>
      <c r="N44" s="5" t="inlineStr">
        <is>
          <t>2020-01-02</t>
        </is>
      </c>
      <c r="O44" s="5" t="inlineStr">
        <is>
          <t>2025-09-12</t>
        </is>
      </c>
      <c r="P44" s="5" t="n">
        <v>174</v>
      </c>
      <c r="Q44" s="5" t="n">
        <v>60</v>
      </c>
      <c r="R44" s="5">
        <f>ROUND(B44*SQRT(C44), 2)</f>
        <v/>
      </c>
    </row>
    <row r="45">
      <c r="A45" s="5" t="inlineStr">
        <is>
          <t>EURAUD</t>
        </is>
      </c>
      <c r="B45" s="5" t="n">
        <v>1.01</v>
      </c>
      <c r="C45" s="5" t="n">
        <v>235</v>
      </c>
      <c r="D45" s="5">
        <f>ROUND(IF(C45&gt;0, (P45/C45)*100, 0), 2)</f>
        <v/>
      </c>
      <c r="E45" s="5" t="n">
        <v>500.63</v>
      </c>
      <c r="F45" s="5" t="n">
        <v>1262.53</v>
      </c>
      <c r="G45" s="5">
        <f>ROUND(F45*2, 2)</f>
        <v/>
      </c>
      <c r="H45" s="5">
        <f>ROUND(G45+E45, 2)</f>
        <v/>
      </c>
      <c r="I45" s="5">
        <f>ROUND(IF(G45&gt;0, (E45/G45)*100, 0), 2)</f>
        <v/>
      </c>
      <c r="J45" s="5">
        <f>ROUND(IF(AND(G45&gt;0, M45&gt;0), ((1+I45/100)^(1/M45)-1)*100, 0), 2)</f>
        <v/>
      </c>
      <c r="K45" s="5" t="n">
        <v>1.78</v>
      </c>
      <c r="L45" s="5" t="n">
        <v>2079</v>
      </c>
      <c r="M45" s="5">
        <f>ROUND(L45/365, 2)</f>
        <v/>
      </c>
      <c r="N45" s="5" t="inlineStr">
        <is>
          <t>2020-01-02</t>
        </is>
      </c>
      <c r="O45" s="5" t="inlineStr">
        <is>
          <t>2025-09-12</t>
        </is>
      </c>
      <c r="P45" s="5" t="n">
        <v>169</v>
      </c>
      <c r="Q45" s="5" t="n">
        <v>66</v>
      </c>
      <c r="R45" s="5">
        <f>ROUND(B45*SQRT(C45), 2)</f>
        <v/>
      </c>
    </row>
    <row r="46">
      <c r="A46" s="5" t="inlineStr">
        <is>
          <t>GBPUSD</t>
        </is>
      </c>
      <c r="B46" s="5" t="n">
        <v>1.4</v>
      </c>
      <c r="C46" s="5" t="n">
        <v>228</v>
      </c>
      <c r="D46" s="5">
        <f>ROUND(IF(C46&gt;0, (P46/C46)*100, 0), 2)</f>
        <v/>
      </c>
      <c r="E46" s="5" t="n">
        <v>461.92</v>
      </c>
      <c r="F46" s="5" t="n">
        <v>735.54</v>
      </c>
      <c r="G46" s="5">
        <f>ROUND(F46*2, 2)</f>
        <v/>
      </c>
      <c r="H46" s="5">
        <f>ROUND(G46+E46, 2)</f>
        <v/>
      </c>
      <c r="I46" s="5">
        <f>ROUND(IF(G46&gt;0, (E46/G46)*100, 0), 2)</f>
        <v/>
      </c>
      <c r="J46" s="5">
        <f>ROUND(IF(AND(G46&gt;0, M46&gt;0), ((1+I46/100)^(1/M46)-1)*100, 0), 2)</f>
        <v/>
      </c>
      <c r="K46" s="5" t="n">
        <v>2.12</v>
      </c>
      <c r="L46" s="5" t="n">
        <v>2038</v>
      </c>
      <c r="M46" s="5">
        <f>ROUND(L46/365, 2)</f>
        <v/>
      </c>
      <c r="N46" s="5" t="inlineStr">
        <is>
          <t>2020-01-02</t>
        </is>
      </c>
      <c r="O46" s="5" t="inlineStr">
        <is>
          <t>2025-08-01</t>
        </is>
      </c>
      <c r="P46" s="5" t="n">
        <v>165</v>
      </c>
      <c r="Q46" s="5" t="n">
        <v>63</v>
      </c>
      <c r="R46" s="5">
        <f>ROUND(B46*SQRT(C46), 2)</f>
        <v/>
      </c>
    </row>
    <row r="47">
      <c r="A47" s="5" t="inlineStr">
        <is>
          <t>EURGBP</t>
        </is>
      </c>
      <c r="B47" s="5" t="n">
        <v>1.01</v>
      </c>
      <c r="C47" s="5" t="n">
        <v>128</v>
      </c>
      <c r="D47" s="5">
        <f>ROUND(IF(C47&gt;0, (P47/C47)*100, 0), 2)</f>
        <v/>
      </c>
      <c r="E47" s="5" t="n">
        <v>267.91</v>
      </c>
      <c r="F47" s="5" t="n">
        <v>727.1</v>
      </c>
      <c r="G47" s="5">
        <f>ROUND(F47*2, 2)</f>
        <v/>
      </c>
      <c r="H47" s="5">
        <f>ROUND(G47+E47, 2)</f>
        <v/>
      </c>
      <c r="I47" s="5">
        <f>ROUND(IF(G47&gt;0, (E47/G47)*100, 0), 2)</f>
        <v/>
      </c>
      <c r="J47" s="5">
        <f>ROUND(IF(AND(G47&gt;0, M47&gt;0), ((1+I47/100)^(1/M47)-1)*100, 0), 2)</f>
        <v/>
      </c>
      <c r="K47" s="5" t="n">
        <v>2.17</v>
      </c>
      <c r="L47" s="5" t="n">
        <v>2034</v>
      </c>
      <c r="M47" s="5">
        <f>ROUND(L47/365, 2)</f>
        <v/>
      </c>
      <c r="N47" s="5" t="inlineStr">
        <is>
          <t>2020-01-02</t>
        </is>
      </c>
      <c r="O47" s="5" t="inlineStr">
        <is>
          <t>2025-07-28</t>
        </is>
      </c>
      <c r="P47" s="5" t="n">
        <v>97</v>
      </c>
      <c r="Q47" s="5" t="n">
        <v>31</v>
      </c>
      <c r="R47" s="5">
        <f>ROUND(B47*SQRT(C47), 2)</f>
        <v/>
      </c>
    </row>
    <row r="48">
      <c r="A48" s="5" t="inlineStr">
        <is>
          <t>GBPCAD</t>
        </is>
      </c>
      <c r="B48" s="5" t="n">
        <v>2.18</v>
      </c>
      <c r="C48" s="5" t="n">
        <v>230</v>
      </c>
      <c r="D48" s="5">
        <f>ROUND(IF(C48&gt;0, (P48/C48)*100, 0), 2)</f>
        <v/>
      </c>
      <c r="E48" s="5" t="n">
        <v>372.34</v>
      </c>
      <c r="F48" s="5" t="n">
        <v>317.4</v>
      </c>
      <c r="G48" s="5">
        <f>ROUND(F48*2, 2)</f>
        <v/>
      </c>
      <c r="H48" s="5">
        <f>ROUND(G48+E48, 2)</f>
        <v/>
      </c>
      <c r="I48" s="5">
        <f>ROUND(IF(G48&gt;0, (E48/G48)*100, 0), 2)</f>
        <v/>
      </c>
      <c r="J48" s="5">
        <f>ROUND(IF(AND(G48&gt;0, M48&gt;0), ((1+I48/100)^(1/M48)-1)*100, 0), 2)</f>
        <v/>
      </c>
      <c r="K48" s="5" t="n">
        <v>2.82</v>
      </c>
      <c r="L48" s="5" t="n">
        <v>2055</v>
      </c>
      <c r="M48" s="5">
        <f>ROUND(L48/365, 2)</f>
        <v/>
      </c>
      <c r="N48" s="5" t="inlineStr">
        <is>
          <t>2020-01-02</t>
        </is>
      </c>
      <c r="O48" s="5" t="inlineStr">
        <is>
          <t>2025-08-18</t>
        </is>
      </c>
      <c r="P48" s="5" t="n">
        <v>168</v>
      </c>
      <c r="Q48" s="5" t="n">
        <v>62</v>
      </c>
      <c r="R48" s="5">
        <f>ROUND(B48*SQRT(C48), 2)</f>
        <v/>
      </c>
    </row>
    <row r="49">
      <c r="A49" s="5" t="inlineStr">
        <is>
          <t>EURCAD</t>
        </is>
      </c>
      <c r="B49" s="5" t="n">
        <v>1.09</v>
      </c>
      <c r="C49" s="5" t="n">
        <v>188</v>
      </c>
      <c r="D49" s="5">
        <f>ROUND(IF(C49&gt;0, (P49/C49)*100, 0), 2)</f>
        <v/>
      </c>
      <c r="E49" s="5" t="n">
        <v>254.6</v>
      </c>
      <c r="F49" s="5" t="n">
        <v>486.55</v>
      </c>
      <c r="G49" s="5">
        <f>ROUND(F49*2, 2)</f>
        <v/>
      </c>
      <c r="H49" s="5">
        <f>ROUND(G49+E49, 2)</f>
        <v/>
      </c>
      <c r="I49" s="5">
        <f>ROUND(IF(G49&gt;0, (E49/G49)*100, 0), 2)</f>
        <v/>
      </c>
      <c r="J49" s="5">
        <f>ROUND(IF(AND(G49&gt;0, M49&gt;0), ((1+I49/100)^(1/M49)-1)*100, 0), 2)</f>
        <v/>
      </c>
      <c r="K49" s="5" t="n">
        <v>1.82</v>
      </c>
      <c r="L49" s="5" t="n">
        <v>2001</v>
      </c>
      <c r="M49" s="5">
        <f>ROUND(L49/365, 2)</f>
        <v/>
      </c>
      <c r="N49" s="5" t="inlineStr">
        <is>
          <t>2020-01-02</t>
        </is>
      </c>
      <c r="O49" s="5" t="inlineStr">
        <is>
          <t>2025-06-26</t>
        </is>
      </c>
      <c r="P49" s="5" t="n">
        <v>130</v>
      </c>
      <c r="Q49" s="5" t="n">
        <v>58</v>
      </c>
      <c r="R49" s="5">
        <f>ROUND(B49*SQRT(C49), 2)</f>
        <v/>
      </c>
    </row>
    <row r="50">
      <c r="A50" s="5" t="inlineStr">
        <is>
          <t>EURUSD</t>
        </is>
      </c>
      <c r="B50" s="5" t="n">
        <v>3.13</v>
      </c>
      <c r="C50" s="5" t="n">
        <v>249</v>
      </c>
      <c r="D50" s="5">
        <f>ROUND(IF(C50&gt;0, (P50/C50)*100, 0), 2)</f>
        <v/>
      </c>
      <c r="E50" s="5" t="n">
        <v>409.53</v>
      </c>
      <c r="F50" s="5" t="n">
        <v>141.11</v>
      </c>
      <c r="G50" s="5">
        <f>ROUND(F50*2, 2)</f>
        <v/>
      </c>
      <c r="H50" s="5">
        <f>ROUND(G50+E50, 2)</f>
        <v/>
      </c>
      <c r="I50" s="5">
        <f>ROUND(IF(G50&gt;0, (E50/G50)*100, 0), 2)</f>
        <v/>
      </c>
      <c r="J50" s="5">
        <f>ROUND(IF(AND(G50&gt;0, M50&gt;0), ((1+I50/100)^(1/M50)-1)*100, 0), 2)</f>
        <v/>
      </c>
      <c r="K50" s="5" t="n">
        <v>3.68</v>
      </c>
      <c r="L50" s="5" t="n">
        <v>2038</v>
      </c>
      <c r="M50" s="5">
        <f>ROUND(L50/365, 2)</f>
        <v/>
      </c>
      <c r="N50" s="5" t="inlineStr">
        <is>
          <t>2020-01-02</t>
        </is>
      </c>
      <c r="O50" s="5" t="inlineStr">
        <is>
          <t>2025-08-01</t>
        </is>
      </c>
      <c r="P50" s="5" t="n">
        <v>183</v>
      </c>
      <c r="Q50" s="5" t="n">
        <v>66</v>
      </c>
      <c r="R50" s="5">
        <f>ROUND(B50*SQRT(C50), 2)</f>
        <v/>
      </c>
    </row>
    <row r="51">
      <c r="A51" s="5" t="inlineStr">
        <is>
          <t>USDCHF</t>
        </is>
      </c>
      <c r="B51" s="5" t="n">
        <v>1.46</v>
      </c>
      <c r="C51" s="5" t="n">
        <v>270</v>
      </c>
      <c r="D51" s="5">
        <f>ROUND(IF(C51&gt;0, (P51/C51)*100, 0), 2)</f>
        <v/>
      </c>
      <c r="E51" s="5" t="n">
        <v>334.17</v>
      </c>
      <c r="F51" s="5" t="n">
        <v>495.84</v>
      </c>
      <c r="G51" s="5">
        <f>ROUND(F51*2, 2)</f>
        <v/>
      </c>
      <c r="H51" s="5">
        <f>ROUND(G51+E51, 2)</f>
        <v/>
      </c>
      <c r="I51" s="5">
        <f>ROUND(IF(G51&gt;0, (E51/G51)*100, 0), 2)</f>
        <v/>
      </c>
      <c r="J51" s="5">
        <f>ROUND(IF(AND(G51&gt;0, M51&gt;0), ((1+I51/100)^(1/M51)-1)*100, 0), 2)</f>
        <v/>
      </c>
      <c r="K51" s="5" t="n">
        <v>1.84</v>
      </c>
      <c r="L51" s="5" t="n">
        <v>2012</v>
      </c>
      <c r="M51" s="5">
        <f>ROUND(L51/365, 2)</f>
        <v/>
      </c>
      <c r="N51" s="5" t="inlineStr">
        <is>
          <t>2020-01-02</t>
        </is>
      </c>
      <c r="O51" s="5" t="inlineStr">
        <is>
          <t>2025-07-07</t>
        </is>
      </c>
      <c r="P51" s="5" t="n">
        <v>194</v>
      </c>
      <c r="Q51" s="5" t="n">
        <v>76</v>
      </c>
      <c r="R51" s="5">
        <f>ROUND(B51*SQRT(C51), 2)</f>
        <v/>
      </c>
    </row>
    <row r="52">
      <c r="A52" s="5" t="inlineStr">
        <is>
          <t>NZDCHF</t>
        </is>
      </c>
      <c r="B52" s="5" t="n">
        <v>1.29</v>
      </c>
      <c r="C52" s="5" t="n">
        <v>179</v>
      </c>
      <c r="D52" s="5">
        <f>ROUND(IF(C52&gt;0, (P52/C52)*100, 0), 2)</f>
        <v/>
      </c>
      <c r="E52" s="5" t="n">
        <v>239.85</v>
      </c>
      <c r="F52" s="5" t="n">
        <v>592.9299999999999</v>
      </c>
      <c r="G52" s="5">
        <f>ROUND(F52*2, 2)</f>
        <v/>
      </c>
      <c r="H52" s="5">
        <f>ROUND(G52+E52, 2)</f>
        <v/>
      </c>
      <c r="I52" s="5">
        <f>ROUND(IF(G52&gt;0, (E52/G52)*100, 0), 2)</f>
        <v/>
      </c>
      <c r="J52" s="5">
        <f>ROUND(IF(AND(G52&gt;0, M52&gt;0), ((1+I52/100)^(1/M52)-1)*100, 0), 2)</f>
        <v/>
      </c>
      <c r="K52" s="5" t="n">
        <v>2.02</v>
      </c>
      <c r="L52" s="5" t="n">
        <v>2058</v>
      </c>
      <c r="M52" s="5">
        <f>ROUND(L52/365, 2)</f>
        <v/>
      </c>
      <c r="N52" s="5" t="inlineStr">
        <is>
          <t>2020-01-02</t>
        </is>
      </c>
      <c r="O52" s="5" t="inlineStr">
        <is>
          <t>2025-08-21</t>
        </is>
      </c>
      <c r="P52" s="5" t="n">
        <v>129</v>
      </c>
      <c r="Q52" s="5" t="n">
        <v>50</v>
      </c>
      <c r="R52" s="5">
        <f>ROUND(B52*SQRT(C52), 2)</f>
        <v/>
      </c>
    </row>
    <row r="53">
      <c r="A53" s="5" t="inlineStr">
        <is>
          <t>USDJPY</t>
        </is>
      </c>
      <c r="B53" s="5" t="n">
        <v>0.97</v>
      </c>
      <c r="C53" s="5" t="n">
        <v>323</v>
      </c>
      <c r="D53" s="5">
        <f>ROUND(IF(C53&gt;0, (P53/C53)*100, 0), 2)</f>
        <v/>
      </c>
      <c r="E53" s="5" t="n">
        <v>306.26</v>
      </c>
      <c r="F53" s="5" t="n">
        <v>674.92</v>
      </c>
      <c r="G53" s="5">
        <f>ROUND(F53*2, 2)</f>
        <v/>
      </c>
      <c r="H53" s="5">
        <f>ROUND(G53+E53, 2)</f>
        <v/>
      </c>
      <c r="I53" s="5">
        <f>ROUND(IF(G53&gt;0, (E53/G53)*100, 0), 2)</f>
        <v/>
      </c>
      <c r="J53" s="5">
        <f>ROUND(IF(AND(G53&gt;0, M53&gt;0), ((1+I53/100)^(1/M53)-1)*100, 0), 2)</f>
        <v/>
      </c>
      <c r="K53" s="5" t="n">
        <v>1.48</v>
      </c>
      <c r="L53" s="5" t="n">
        <v>2021</v>
      </c>
      <c r="M53" s="5">
        <f>ROUND(L53/365, 2)</f>
        <v/>
      </c>
      <c r="N53" s="5" t="inlineStr">
        <is>
          <t>2020-01-02</t>
        </is>
      </c>
      <c r="O53" s="5" t="inlineStr">
        <is>
          <t>2025-07-16</t>
        </is>
      </c>
      <c r="P53" s="5" t="n">
        <v>223</v>
      </c>
      <c r="Q53" s="5" t="n">
        <v>100</v>
      </c>
      <c r="R53" s="5">
        <f>ROUND(B53*SQRT(C53), 2)</f>
        <v/>
      </c>
    </row>
    <row r="54">
      <c r="A54" s="5" t="inlineStr">
        <is>
          <t>CADCHF</t>
        </is>
      </c>
      <c r="B54" s="5" t="n">
        <v>1.53</v>
      </c>
      <c r="C54" s="5" t="n">
        <v>250</v>
      </c>
      <c r="D54" s="5">
        <f>ROUND(IF(C54&gt;0, (P54/C54)*100, 0), 2)</f>
        <v/>
      </c>
      <c r="E54" s="5" t="n">
        <v>348.77</v>
      </c>
      <c r="F54" s="5" t="n">
        <v>553.53</v>
      </c>
      <c r="G54" s="5">
        <f>ROUND(F54*2, 2)</f>
        <v/>
      </c>
      <c r="H54" s="5">
        <f>ROUND(G54+E54, 2)</f>
        <v/>
      </c>
      <c r="I54" s="5">
        <f>ROUND(IF(G54&gt;0, (E54/G54)*100, 0), 2)</f>
        <v/>
      </c>
      <c r="J54" s="5">
        <f>ROUND(IF(AND(G54&gt;0, M54&gt;0), ((1+I54/100)^(1/M54)-1)*100, 0), 2)</f>
        <v/>
      </c>
      <c r="K54" s="5" t="n">
        <v>2.22</v>
      </c>
      <c r="L54" s="5" t="n">
        <v>2009</v>
      </c>
      <c r="M54" s="5">
        <f>ROUND(L54/365, 2)</f>
        <v/>
      </c>
      <c r="N54" s="5" t="inlineStr">
        <is>
          <t>2020-01-02</t>
        </is>
      </c>
      <c r="O54" s="5" t="inlineStr">
        <is>
          <t>2025-07-03</t>
        </is>
      </c>
      <c r="P54" s="5" t="n">
        <v>189</v>
      </c>
      <c r="Q54" s="5" t="n">
        <v>61</v>
      </c>
      <c r="R54" s="5">
        <f>ROUND(B54*SQRT(C54), 2)</f>
        <v/>
      </c>
    </row>
    <row r="55">
      <c r="A55" s="5" t="inlineStr">
        <is>
          <t>GBPCHF</t>
        </is>
      </c>
      <c r="B55" s="5" t="n">
        <v>1.53</v>
      </c>
      <c r="C55" s="5" t="n">
        <v>224</v>
      </c>
      <c r="D55" s="5">
        <f>ROUND(IF(C55&gt;0, (P55/C55)*100, 0), 2)</f>
        <v/>
      </c>
      <c r="E55" s="5" t="n">
        <v>640.8</v>
      </c>
      <c r="F55" s="5" t="n">
        <v>763.98</v>
      </c>
      <c r="G55" s="5">
        <f>ROUND(F55*2, 2)</f>
        <v/>
      </c>
      <c r="H55" s="5">
        <f>ROUND(G55+E55, 2)</f>
        <v/>
      </c>
      <c r="I55" s="5">
        <f>ROUND(IF(G55&gt;0, (E55/G55)*100, 0), 2)</f>
        <v/>
      </c>
      <c r="J55" s="5">
        <f>ROUND(IF(AND(G55&gt;0, M55&gt;0), ((1+I55/100)^(1/M55)-1)*100, 0), 2)</f>
        <v/>
      </c>
      <c r="K55" s="5" t="n">
        <v>2.25</v>
      </c>
      <c r="L55" s="5" t="n">
        <v>2021</v>
      </c>
      <c r="M55" s="5">
        <f>ROUND(L55/365, 2)</f>
        <v/>
      </c>
      <c r="N55" s="5" t="inlineStr">
        <is>
          <t>2020-01-02</t>
        </is>
      </c>
      <c r="O55" s="5" t="inlineStr">
        <is>
          <t>2025-07-15</t>
        </is>
      </c>
      <c r="P55" s="5" t="n">
        <v>164</v>
      </c>
      <c r="Q55" s="5" t="n">
        <v>60</v>
      </c>
      <c r="R55" s="5">
        <f>ROUND(B55*SQRT(C55), 2)</f>
        <v/>
      </c>
    </row>
    <row r="56">
      <c r="A56" s="5" t="inlineStr">
        <is>
          <t>EURCHF</t>
        </is>
      </c>
      <c r="B56" s="5" t="n">
        <v>1.85</v>
      </c>
      <c r="C56" s="5" t="n">
        <v>205</v>
      </c>
      <c r="D56" s="5">
        <f>ROUND(IF(C56&gt;0, (P56/C56)*100, 0), 2)</f>
        <v/>
      </c>
      <c r="E56" s="5" t="n">
        <v>260.09</v>
      </c>
      <c r="F56" s="5" t="n">
        <v>267.04</v>
      </c>
      <c r="G56" s="5">
        <f>ROUND(F56*2, 2)</f>
        <v/>
      </c>
      <c r="H56" s="5">
        <f>ROUND(G56+E56, 2)</f>
        <v/>
      </c>
      <c r="I56" s="5">
        <f>ROUND(IF(G56&gt;0, (E56/G56)*100, 0), 2)</f>
        <v/>
      </c>
      <c r="J56" s="5">
        <f>ROUND(IF(AND(G56&gt;0, M56&gt;0), ((1+I56/100)^(1/M56)-1)*100, 0), 2)</f>
        <v/>
      </c>
      <c r="K56" s="5" t="n">
        <v>2.38</v>
      </c>
      <c r="L56" s="5" t="n">
        <v>1923</v>
      </c>
      <c r="M56" s="5">
        <f>ROUND(L56/365, 2)</f>
        <v/>
      </c>
      <c r="N56" s="5" t="inlineStr">
        <is>
          <t>2020-01-02</t>
        </is>
      </c>
      <c r="O56" s="5" t="inlineStr">
        <is>
          <t>2025-04-09</t>
        </is>
      </c>
      <c r="P56" s="5" t="n">
        <v>139</v>
      </c>
      <c r="Q56" s="5" t="n">
        <v>66</v>
      </c>
      <c r="R56" s="5">
        <f>ROUND(B56*SQRT(C56), 2)</f>
        <v/>
      </c>
    </row>
    <row r="57">
      <c r="A57" s="5" t="inlineStr">
        <is>
          <t>USDCAD</t>
        </is>
      </c>
      <c r="B57" s="5" t="n">
        <v>2.17</v>
      </c>
      <c r="C57" s="5" t="n">
        <v>257</v>
      </c>
      <c r="D57" s="5">
        <f>ROUND(IF(C57&gt;0, (P57/C57)*100, 0), 2)</f>
        <v/>
      </c>
      <c r="E57" s="5" t="n">
        <v>332.29</v>
      </c>
      <c r="F57" s="5" t="n">
        <v>256.2</v>
      </c>
      <c r="G57" s="5">
        <f>ROUND(F57*2, 2)</f>
        <v/>
      </c>
      <c r="H57" s="5">
        <f>ROUND(G57+E57, 2)</f>
        <v/>
      </c>
      <c r="I57" s="5">
        <f>ROUND(IF(G57&gt;0, (E57/G57)*100, 0), 2)</f>
        <v/>
      </c>
      <c r="J57" s="5">
        <f>ROUND(IF(AND(G57&gt;0, M57&gt;0), ((1+I57/100)^(1/M57)-1)*100, 0), 2)</f>
        <v/>
      </c>
      <c r="K57" s="5" t="n">
        <v>3.32</v>
      </c>
      <c r="L57" s="5" t="n">
        <v>1992</v>
      </c>
      <c r="M57" s="5">
        <f>ROUND(L57/365, 2)</f>
        <v/>
      </c>
      <c r="N57" s="5" t="inlineStr">
        <is>
          <t>2020-01-02</t>
        </is>
      </c>
      <c r="O57" s="5" t="inlineStr">
        <is>
          <t>2025-06-17</t>
        </is>
      </c>
      <c r="P57" s="5" t="n">
        <v>189</v>
      </c>
      <c r="Q57" s="5" t="n">
        <v>68</v>
      </c>
      <c r="R57" s="5">
        <f>ROUND(B57*SQRT(C57), 2)</f>
        <v/>
      </c>
    </row>
    <row r="58">
      <c r="A58" s="5" t="inlineStr">
        <is>
          <t>AUDUSD</t>
        </is>
      </c>
      <c r="B58" s="5" t="n">
        <v>4.26</v>
      </c>
      <c r="C58" s="5" t="n">
        <v>192</v>
      </c>
      <c r="D58" s="5">
        <f>ROUND(IF(C58&gt;0, (P58/C58)*100, 0), 2)</f>
        <v/>
      </c>
      <c r="E58" s="5" t="n">
        <v>257.07</v>
      </c>
      <c r="F58" s="5" t="n">
        <v>149.09</v>
      </c>
      <c r="G58" s="5">
        <f>ROUND(F58*2, 2)</f>
        <v/>
      </c>
      <c r="H58" s="5">
        <f>ROUND(G58+E58, 2)</f>
        <v/>
      </c>
      <c r="I58" s="5">
        <f>ROUND(IF(G58&gt;0, (E58/G58)*100, 0), 2)</f>
        <v/>
      </c>
      <c r="J58" s="5">
        <f>ROUND(IF(AND(G58&gt;0, M58&gt;0), ((1+I58/100)^(1/M58)-1)*100, 0), 2)</f>
        <v/>
      </c>
      <c r="K58" s="5" t="n">
        <v>6.51</v>
      </c>
      <c r="L58" s="5" t="n">
        <v>1923</v>
      </c>
      <c r="M58" s="5">
        <f>ROUND(L58/365, 2)</f>
        <v/>
      </c>
      <c r="N58" s="5" t="inlineStr">
        <is>
          <t>2020-01-02</t>
        </is>
      </c>
      <c r="O58" s="5" t="inlineStr">
        <is>
          <t>2025-04-09</t>
        </is>
      </c>
      <c r="P58" s="5" t="n">
        <v>148</v>
      </c>
      <c r="Q58" s="5" t="n">
        <v>44</v>
      </c>
      <c r="R58" s="5">
        <f>ROUND(B58*SQRT(C58), 2)</f>
        <v/>
      </c>
    </row>
    <row r="59">
      <c r="A59" s="9" t="inlineStr">
        <is>
          <t>STRATEGY TOTAL</t>
        </is>
      </c>
      <c r="B59" s="9">
        <f>ROUND(AVERAGE(B44:B58), 2)</f>
        <v/>
      </c>
      <c r="C59" s="9">
        <f>SUM(C44:C58)</f>
        <v/>
      </c>
      <c r="D59" s="9">
        <f>ROUND(IF(C59&gt;0, (P59/C59)*100, 0), 2)</f>
        <v/>
      </c>
      <c r="E59" s="9">
        <f>ROUND(SUM(E44:E58), 2)</f>
        <v/>
      </c>
      <c r="F59" s="9">
        <f>ROUND(SUM(F44:F58), 2)</f>
        <v/>
      </c>
      <c r="G59" s="9">
        <f>ROUND(SUM(G44:G58), 2)</f>
        <v/>
      </c>
      <c r="H59" s="9">
        <f>ROUND(SUM(H44:H58), 2)</f>
        <v/>
      </c>
      <c r="I59" s="9">
        <f>ROUND(IF(G59&gt;0, (E59/G59)*100, 0), 2)</f>
        <v/>
      </c>
      <c r="J59" s="9">
        <f>ROUND(AVERAGE(J44:J58), 2)</f>
        <v/>
      </c>
      <c r="K59" s="9">
        <f>ROUND(AVERAGE(K44:K58), 2)</f>
        <v/>
      </c>
      <c r="L59" s="9" t="n"/>
      <c r="M59" s="9" t="n"/>
      <c r="N59" s="9" t="n"/>
      <c r="O59" s="9" t="n"/>
      <c r="P59" s="9">
        <f>SUM(P44:P58)</f>
        <v/>
      </c>
      <c r="Q59" s="9">
        <f>SUM(Q44:Q58)</f>
        <v/>
      </c>
      <c r="R59" s="9">
        <f>ROUND(B59*SQRT(C59), 2)</f>
        <v/>
      </c>
    </row>
    <row r="62">
      <c r="A62" s="20" t="inlineStr">
        <is>
          <t>Strategy: AURUM</t>
        </is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</row>
    <row r="63">
      <c r="A63" s="8" t="inlineStr">
        <is>
          <t>Currency_Pair</t>
        </is>
      </c>
      <c r="B63" s="8" t="inlineStr">
        <is>
          <t>Sharpe_Ratio</t>
        </is>
      </c>
      <c r="C63" s="8" t="inlineStr">
        <is>
          <t>Total_Trades</t>
        </is>
      </c>
      <c r="D63" s="8" t="inlineStr">
        <is>
          <t>Win_Rate_%</t>
        </is>
      </c>
      <c r="E63" s="8" t="inlineStr">
        <is>
          <t>Total_Profit</t>
        </is>
      </c>
      <c r="F63" s="8" t="inlineStr">
        <is>
          <t>Max_Drawdown</t>
        </is>
      </c>
      <c r="G63" s="8" t="inlineStr">
        <is>
          <t>Initial_Capital</t>
        </is>
      </c>
      <c r="H63" s="8" t="inlineStr">
        <is>
          <t>Final_Balance</t>
        </is>
      </c>
      <c r="I63" s="8" t="inlineStr">
        <is>
          <t>Return_%</t>
        </is>
      </c>
      <c r="J63" s="8" t="inlineStr">
        <is>
          <t>XIRR_%</t>
        </is>
      </c>
      <c r="K63" s="8" t="inlineStr">
        <is>
          <t>Profit_Factor</t>
        </is>
      </c>
      <c r="L63" s="8" t="inlineStr">
        <is>
          <t>Trading_Days</t>
        </is>
      </c>
      <c r="M63" s="8" t="inlineStr">
        <is>
          <t>Trading_Years</t>
        </is>
      </c>
      <c r="N63" s="8" t="inlineStr">
        <is>
          <t>Start_Date</t>
        </is>
      </c>
      <c r="O63" s="8" t="inlineStr">
        <is>
          <t>End_Date</t>
        </is>
      </c>
      <c r="P63" s="8" t="inlineStr">
        <is>
          <t>Winning</t>
        </is>
      </c>
      <c r="Q63" s="8" t="inlineStr">
        <is>
          <t>Losing</t>
        </is>
      </c>
      <c r="R63" s="8" t="inlineStr">
        <is>
          <t>ALPHA</t>
        </is>
      </c>
    </row>
    <row r="64">
      <c r="A64" s="5" t="inlineStr">
        <is>
          <t>XAUUSD_Grid</t>
        </is>
      </c>
      <c r="B64" s="5" t="n">
        <v>2</v>
      </c>
      <c r="C64" s="5" t="n">
        <v>1317</v>
      </c>
      <c r="D64" s="5">
        <f>ROUND(IF(C64&gt;0, (P64/C64)*100, 0), 2)</f>
        <v/>
      </c>
      <c r="E64" s="5" t="n">
        <v>21525.9</v>
      </c>
      <c r="F64" s="5" t="n">
        <v>6752</v>
      </c>
      <c r="G64" s="5">
        <f>ROUND(F64*2, 2)</f>
        <v/>
      </c>
      <c r="H64" s="5">
        <f>ROUND(G64+E64, 2)</f>
        <v/>
      </c>
      <c r="I64" s="5">
        <f>ROUND(IF(G64&gt;0, (E64/G64)*100, 0), 2)</f>
        <v/>
      </c>
      <c r="J64" s="5">
        <f>ROUND(IF(AND(G64&gt;0, M64&gt;0), ((1+I64/100)^(1/M64)-1)*100, 0), 2)</f>
        <v/>
      </c>
      <c r="K64" s="5" t="n">
        <v>130.12</v>
      </c>
      <c r="L64" s="5" t="n">
        <v>2021</v>
      </c>
      <c r="M64" s="5">
        <f>ROUND(L64/365, 2)</f>
        <v/>
      </c>
      <c r="N64" s="5" t="inlineStr">
        <is>
          <t>2020-01-24</t>
        </is>
      </c>
      <c r="O64" s="5" t="inlineStr">
        <is>
          <t>2025-08-06</t>
        </is>
      </c>
      <c r="P64" s="5" t="n">
        <v>1313</v>
      </c>
      <c r="Q64" s="5" t="n">
        <v>4</v>
      </c>
      <c r="R64" s="5">
        <f>ROUND(B64*SQRT(C64), 2)</f>
        <v/>
      </c>
    </row>
    <row r="65">
      <c r="A65" s="5" t="inlineStr">
        <is>
          <t>USDJPY_Grid</t>
        </is>
      </c>
      <c r="B65" s="5" t="n">
        <v>5.77</v>
      </c>
      <c r="C65" s="5" t="n">
        <v>1261</v>
      </c>
      <c r="D65" s="5">
        <f>ROUND(IF(C65&gt;0, (P65/C65)*100, 0), 2)</f>
        <v/>
      </c>
      <c r="E65" s="5" t="n">
        <v>6189.67</v>
      </c>
      <c r="F65" s="5" t="n">
        <v>3319</v>
      </c>
      <c r="G65" s="5">
        <f>ROUND(F65*2, 2)</f>
        <v/>
      </c>
      <c r="H65" s="5">
        <f>ROUND(G65+E65, 2)</f>
        <v/>
      </c>
      <c r="I65" s="5">
        <f>ROUND(IF(G65&gt;0, (E65/G65)*100, 0), 2)</f>
        <v/>
      </c>
      <c r="J65" s="5">
        <f>ROUND(IF(AND(G65&gt;0, M65&gt;0), ((1+I65/100)^(1/M65)-1)*100, 0), 2)</f>
        <v/>
      </c>
      <c r="K65" s="5" t="n">
        <v>5.58</v>
      </c>
      <c r="L65" s="5" t="n">
        <v>2160</v>
      </c>
      <c r="M65" s="5">
        <f>ROUND(L65/365, 2)</f>
        <v/>
      </c>
      <c r="N65" s="5" t="inlineStr">
        <is>
          <t>2020-01-01</t>
        </is>
      </c>
      <c r="O65" s="5" t="inlineStr">
        <is>
          <t>2025-11-30</t>
        </is>
      </c>
      <c r="P65" s="5" t="n">
        <v>1032</v>
      </c>
      <c r="Q65" s="5" t="n">
        <v>229</v>
      </c>
      <c r="R65" s="5">
        <f>ROUND(B65*SQRT(C65), 2)</f>
        <v/>
      </c>
    </row>
    <row r="66">
      <c r="A66" s="9" t="inlineStr">
        <is>
          <t>STRATEGY TOTAL</t>
        </is>
      </c>
      <c r="B66" s="9">
        <f>ROUND(AVERAGE(B64:B65), 2)</f>
        <v/>
      </c>
      <c r="C66" s="9">
        <f>SUM(C64:C65)</f>
        <v/>
      </c>
      <c r="D66" s="9">
        <f>ROUND(IF(C66&gt;0, (P66/C66)*100, 0), 2)</f>
        <v/>
      </c>
      <c r="E66" s="9">
        <f>ROUND(SUM(E64:E65), 2)</f>
        <v/>
      </c>
      <c r="F66" s="9">
        <f>ROUND(SUM(F64:F65), 2)</f>
        <v/>
      </c>
      <c r="G66" s="9">
        <f>ROUND(SUM(G64:G65), 2)</f>
        <v/>
      </c>
      <c r="H66" s="9">
        <f>ROUND(SUM(H64:H65), 2)</f>
        <v/>
      </c>
      <c r="I66" s="9">
        <f>ROUND(IF(G66&gt;0, (E66/G66)*100, 0), 2)</f>
        <v/>
      </c>
      <c r="J66" s="9">
        <f>ROUND(AVERAGE(J64:J65), 2)</f>
        <v/>
      </c>
      <c r="K66" s="9">
        <f>ROUND(AVERAGE(K64:K65), 2)</f>
        <v/>
      </c>
      <c r="L66" s="9" t="n"/>
      <c r="M66" s="9" t="n"/>
      <c r="N66" s="9" t="n"/>
      <c r="O66" s="9" t="n"/>
      <c r="P66" s="9">
        <f>SUM(P64:P65)</f>
        <v/>
      </c>
      <c r="Q66" s="9">
        <f>SUM(Q64:Q65)</f>
        <v/>
      </c>
      <c r="R66" s="9">
        <f>ROUND(B66*SQRT(C66), 2)</f>
        <v/>
      </c>
    </row>
    <row r="69">
      <c r="A69" s="21" t="inlineStr">
        <is>
          <t>Strategy: PairTradingEA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</row>
    <row r="70">
      <c r="A70" s="8" t="inlineStr">
        <is>
          <t>Currency_Pair</t>
        </is>
      </c>
      <c r="B70" s="8" t="inlineStr">
        <is>
          <t>Sharpe_Ratio</t>
        </is>
      </c>
      <c r="C70" s="8" t="inlineStr">
        <is>
          <t>Total_Trades</t>
        </is>
      </c>
      <c r="D70" s="8" t="inlineStr">
        <is>
          <t>Win_Rate_%</t>
        </is>
      </c>
      <c r="E70" s="8" t="inlineStr">
        <is>
          <t>Total_Profit</t>
        </is>
      </c>
      <c r="F70" s="8" t="inlineStr">
        <is>
          <t>Max_Drawdown</t>
        </is>
      </c>
      <c r="G70" s="8" t="inlineStr">
        <is>
          <t>Initial_Capital</t>
        </is>
      </c>
      <c r="H70" s="8" t="inlineStr">
        <is>
          <t>Final_Balance</t>
        </is>
      </c>
      <c r="I70" s="8" t="inlineStr">
        <is>
          <t>Return_%</t>
        </is>
      </c>
      <c r="J70" s="8" t="inlineStr">
        <is>
          <t>XIRR_%</t>
        </is>
      </c>
      <c r="K70" s="8" t="inlineStr">
        <is>
          <t>Profit_Factor</t>
        </is>
      </c>
      <c r="L70" s="8" t="inlineStr">
        <is>
          <t>Trading_Days</t>
        </is>
      </c>
      <c r="M70" s="8" t="inlineStr">
        <is>
          <t>Trading_Years</t>
        </is>
      </c>
      <c r="N70" s="8" t="inlineStr">
        <is>
          <t>Start_Date</t>
        </is>
      </c>
      <c r="O70" s="8" t="inlineStr">
        <is>
          <t>End_Date</t>
        </is>
      </c>
      <c r="P70" s="8" t="inlineStr">
        <is>
          <t>Winning</t>
        </is>
      </c>
      <c r="Q70" s="8" t="inlineStr">
        <is>
          <t>Losing</t>
        </is>
      </c>
      <c r="R70" s="8" t="inlineStr">
        <is>
          <t>ALPHA</t>
        </is>
      </c>
    </row>
    <row r="71">
      <c r="A71" s="5" t="inlineStr">
        <is>
          <t>AUDUSD_AUDCAD</t>
        </is>
      </c>
      <c r="B71" s="5" t="n">
        <v>1.31</v>
      </c>
      <c r="C71" s="5" t="n">
        <v>60</v>
      </c>
      <c r="D71" s="5">
        <f>ROUND(IF(C71&gt;0, (P71/C71)*100, 0), 2)</f>
        <v/>
      </c>
      <c r="E71" s="5" t="n">
        <v>1704.23</v>
      </c>
      <c r="F71" s="5" t="n">
        <v>705</v>
      </c>
      <c r="G71" s="5">
        <f>ROUND(F71*2, 2)</f>
        <v/>
      </c>
      <c r="H71" s="5">
        <f>ROUND(G71+E71, 2)</f>
        <v/>
      </c>
      <c r="I71" s="5">
        <f>ROUND(IF(G71&gt;0, (E71/G71)*100, 0), 2)</f>
        <v/>
      </c>
      <c r="J71" s="5">
        <f>ROUND(IF(AND(G71&gt;0, M71&gt;0), ((1+I71/100)^(1/M71)-1)*100, 0), 2)</f>
        <v/>
      </c>
      <c r="K71" s="5" t="n">
        <v>1.61</v>
      </c>
      <c r="L71" s="5" t="n">
        <v>2186</v>
      </c>
      <c r="M71" s="5">
        <f>ROUND(L71/365, 2)</f>
        <v/>
      </c>
      <c r="N71" s="5" t="inlineStr">
        <is>
          <t>2020-01-01</t>
        </is>
      </c>
      <c r="O71" s="5" t="inlineStr">
        <is>
          <t>2025-12-26</t>
        </is>
      </c>
      <c r="P71" s="5" t="n">
        <v>37</v>
      </c>
      <c r="Q71" s="5" t="n">
        <v>23</v>
      </c>
      <c r="R71" s="5">
        <f>ROUND(B71*SQRT(C71), 2)</f>
        <v/>
      </c>
    </row>
    <row r="72">
      <c r="A72" s="5" t="inlineStr">
        <is>
          <t>EURGBP_GBPCHF</t>
        </is>
      </c>
      <c r="B72" s="5" t="n">
        <v>0.84</v>
      </c>
      <c r="C72" s="5" t="n">
        <v>173</v>
      </c>
      <c r="D72" s="5">
        <f>ROUND(IF(C72&gt;0, (P72/C72)*100, 0), 2)</f>
        <v/>
      </c>
      <c r="E72" s="5" t="n">
        <v>4868.1</v>
      </c>
      <c r="F72" s="5" t="n">
        <v>1779</v>
      </c>
      <c r="G72" s="5">
        <f>ROUND(F72*2, 2)</f>
        <v/>
      </c>
      <c r="H72" s="5">
        <f>ROUND(G72+E72, 2)</f>
        <v/>
      </c>
      <c r="I72" s="5">
        <f>ROUND(IF(G72&gt;0, (E72/G72)*100, 0), 2)</f>
        <v/>
      </c>
      <c r="J72" s="5">
        <f>ROUND(IF(AND(G72&gt;0, M72&gt;0), ((1+I72/100)^(1/M72)-1)*100, 0), 2)</f>
        <v/>
      </c>
      <c r="K72" s="5" t="n">
        <v>1.54</v>
      </c>
      <c r="L72" s="5" t="n">
        <v>2172</v>
      </c>
      <c r="M72" s="5">
        <f>ROUND(L72/365, 2)</f>
        <v/>
      </c>
      <c r="N72" s="5" t="inlineStr">
        <is>
          <t>2020-01-15</t>
        </is>
      </c>
      <c r="O72" s="5" t="inlineStr">
        <is>
          <t>2025-12-26</t>
        </is>
      </c>
      <c r="P72" s="5" t="n">
        <v>105</v>
      </c>
      <c r="Q72" s="5" t="n">
        <v>68</v>
      </c>
      <c r="R72" s="5">
        <f>ROUND(B72*SQRT(C72), 2)</f>
        <v/>
      </c>
    </row>
    <row r="73">
      <c r="A73" s="5" t="inlineStr">
        <is>
          <t>EURUSD_GBPUSD</t>
        </is>
      </c>
      <c r="B73" s="5" t="n">
        <v>0.57</v>
      </c>
      <c r="C73" s="5" t="n">
        <v>148</v>
      </c>
      <c r="D73" s="5">
        <f>ROUND(IF(C73&gt;0, (P73/C73)*100, 0), 2)</f>
        <v/>
      </c>
      <c r="E73" s="5" t="n">
        <v>2890.32</v>
      </c>
      <c r="F73" s="5" t="n">
        <v>2020</v>
      </c>
      <c r="G73" s="5">
        <f>ROUND(F73*2, 2)</f>
        <v/>
      </c>
      <c r="H73" s="5">
        <f>ROUND(G73+E73, 2)</f>
        <v/>
      </c>
      <c r="I73" s="5">
        <f>ROUND(IF(G73&gt;0, (E73/G73)*100, 0), 2)</f>
        <v/>
      </c>
      <c r="J73" s="5">
        <f>ROUND(IF(AND(G73&gt;0, M73&gt;0), ((1+I73/100)^(1/M73)-1)*100, 0), 2)</f>
        <v/>
      </c>
      <c r="K73" s="5" t="n">
        <v>1.39</v>
      </c>
      <c r="L73" s="5" t="n">
        <v>1912</v>
      </c>
      <c r="M73" s="5">
        <f>ROUND(L73/365, 2)</f>
        <v/>
      </c>
      <c r="N73" s="5" t="inlineStr">
        <is>
          <t>2020-10-01</t>
        </is>
      </c>
      <c r="O73" s="5" t="inlineStr">
        <is>
          <t>2025-12-26</t>
        </is>
      </c>
      <c r="P73" s="5" t="n">
        <v>86</v>
      </c>
      <c r="Q73" s="5" t="n">
        <v>62</v>
      </c>
      <c r="R73" s="5">
        <f>ROUND(B73*SQRT(C73), 2)</f>
        <v/>
      </c>
    </row>
    <row r="74">
      <c r="A74" s="5" t="inlineStr">
        <is>
          <t>EURUSD_AUDUSD</t>
        </is>
      </c>
      <c r="B74" s="5" t="n">
        <v>0.76</v>
      </c>
      <c r="C74" s="5" t="n">
        <v>400</v>
      </c>
      <c r="D74" s="5">
        <f>ROUND(IF(C74&gt;0, (P74/C74)*100, 0), 2)</f>
        <v/>
      </c>
      <c r="E74" s="5" t="n">
        <v>10608.65</v>
      </c>
      <c r="F74" s="5" t="n">
        <v>3596</v>
      </c>
      <c r="G74" s="5">
        <f>ROUND(F74*2, 2)</f>
        <v/>
      </c>
      <c r="H74" s="5">
        <f>ROUND(G74+E74, 2)</f>
        <v/>
      </c>
      <c r="I74" s="5">
        <f>ROUND(IF(G74&gt;0, (E74/G74)*100, 0), 2)</f>
        <v/>
      </c>
      <c r="J74" s="5">
        <f>ROUND(IF(AND(G74&gt;0, M74&gt;0), ((1+I74/100)^(1/M74)-1)*100, 0), 2)</f>
        <v/>
      </c>
      <c r="K74" s="5" t="n">
        <v>1.52</v>
      </c>
      <c r="L74" s="5" t="n">
        <v>1912</v>
      </c>
      <c r="M74" s="5">
        <f>ROUND(L74/365, 2)</f>
        <v/>
      </c>
      <c r="N74" s="5" t="inlineStr">
        <is>
          <t>2020-10-01</t>
        </is>
      </c>
      <c r="O74" s="5" t="inlineStr">
        <is>
          <t>2025-12-26</t>
        </is>
      </c>
      <c r="P74" s="5" t="n">
        <v>241</v>
      </c>
      <c r="Q74" s="5" t="n">
        <v>159</v>
      </c>
      <c r="R74" s="5">
        <f>ROUND(B74*SQRT(C74), 2)</f>
        <v/>
      </c>
    </row>
    <row r="75">
      <c r="A75" s="5" t="inlineStr">
        <is>
          <t>USDCAD_AUDCHF</t>
        </is>
      </c>
      <c r="B75" s="5" t="n">
        <v>0.85</v>
      </c>
      <c r="C75" s="5" t="n">
        <v>622</v>
      </c>
      <c r="D75" s="5">
        <f>ROUND(IF(C75&gt;0, (P75/C75)*100, 0), 2)</f>
        <v/>
      </c>
      <c r="E75" s="5" t="n">
        <v>16357.46</v>
      </c>
      <c r="F75" s="5" t="n">
        <v>4579</v>
      </c>
      <c r="G75" s="5">
        <f>ROUND(F75*2, 2)</f>
        <v/>
      </c>
      <c r="H75" s="5">
        <f>ROUND(G75+E75, 2)</f>
        <v/>
      </c>
      <c r="I75" s="5">
        <f>ROUND(IF(G75&gt;0, (E75/G75)*100, 0), 2)</f>
        <v/>
      </c>
      <c r="J75" s="5">
        <f>ROUND(IF(AND(G75&gt;0, M75&gt;0), ((1+I75/100)^(1/M75)-1)*100, 0), 2)</f>
        <v/>
      </c>
      <c r="K75" s="5" t="n">
        <v>1.69</v>
      </c>
      <c r="L75" s="5" t="n">
        <v>2186</v>
      </c>
      <c r="M75" s="5">
        <f>ROUND(L75/365, 2)</f>
        <v/>
      </c>
      <c r="N75" s="5" t="inlineStr">
        <is>
          <t>2020-01-01</t>
        </is>
      </c>
      <c r="O75" s="5" t="inlineStr">
        <is>
          <t>2025-12-26</t>
        </is>
      </c>
      <c r="P75" s="5" t="n">
        <v>391</v>
      </c>
      <c r="Q75" s="5" t="n">
        <v>231</v>
      </c>
      <c r="R75" s="5">
        <f>ROUND(B75*SQRT(C75), 2)</f>
        <v/>
      </c>
    </row>
    <row r="76">
      <c r="A76" s="9" t="inlineStr">
        <is>
          <t>STRATEGY TOTAL</t>
        </is>
      </c>
      <c r="B76" s="9">
        <f>ROUND(AVERAGE(B71:B75), 2)</f>
        <v/>
      </c>
      <c r="C76" s="9">
        <f>SUM(C71:C75)</f>
        <v/>
      </c>
      <c r="D76" s="9">
        <f>ROUND(IF(C76&gt;0, (P76/C76)*100, 0), 2)</f>
        <v/>
      </c>
      <c r="E76" s="9">
        <f>ROUND(SUM(E71:E75), 2)</f>
        <v/>
      </c>
      <c r="F76" s="9">
        <f>ROUND(SUM(F71:F75), 2)</f>
        <v/>
      </c>
      <c r="G76" s="9">
        <f>ROUND(SUM(G71:G75), 2)</f>
        <v/>
      </c>
      <c r="H76" s="9">
        <f>ROUND(SUM(H71:H75), 2)</f>
        <v/>
      </c>
      <c r="I76" s="9">
        <f>ROUND(IF(G76&gt;0, (E76/G76)*100, 0), 2)</f>
        <v/>
      </c>
      <c r="J76" s="9">
        <f>ROUND(AVERAGE(J71:J75), 2)</f>
        <v/>
      </c>
      <c r="K76" s="9">
        <f>ROUND(AVERAGE(K71:K75), 2)</f>
        <v/>
      </c>
      <c r="L76" s="9" t="n"/>
      <c r="M76" s="9" t="n"/>
      <c r="N76" s="9" t="n"/>
      <c r="O76" s="9" t="n"/>
      <c r="P76" s="9">
        <f>SUM(P71:P75)</f>
        <v/>
      </c>
      <c r="Q76" s="9">
        <f>SUM(Q71:Q75)</f>
        <v/>
      </c>
      <c r="R76" s="9">
        <f>ROUND(B76*SQRT(C76), 2)</f>
        <v/>
      </c>
    </row>
    <row r="79">
      <c r="A79" s="22" t="inlineStr">
        <is>
          <t>Strategy: Reversal_Strategy</t>
        </is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</row>
    <row r="80">
      <c r="A80" s="8" t="inlineStr">
        <is>
          <t>Currency_Pair</t>
        </is>
      </c>
      <c r="B80" s="8" t="inlineStr">
        <is>
          <t>Sharpe_Ratio</t>
        </is>
      </c>
      <c r="C80" s="8" t="inlineStr">
        <is>
          <t>Total_Trades</t>
        </is>
      </c>
      <c r="D80" s="8" t="inlineStr">
        <is>
          <t>Win_Rate_%</t>
        </is>
      </c>
      <c r="E80" s="8" t="inlineStr">
        <is>
          <t>Total_Profit</t>
        </is>
      </c>
      <c r="F80" s="8" t="inlineStr">
        <is>
          <t>Max_Drawdown</t>
        </is>
      </c>
      <c r="G80" s="8" t="inlineStr">
        <is>
          <t>Initial_Capital</t>
        </is>
      </c>
      <c r="H80" s="8" t="inlineStr">
        <is>
          <t>Final_Balance</t>
        </is>
      </c>
      <c r="I80" s="8" t="inlineStr">
        <is>
          <t>Return_%</t>
        </is>
      </c>
      <c r="J80" s="8" t="inlineStr">
        <is>
          <t>XIRR_%</t>
        </is>
      </c>
      <c r="K80" s="8" t="inlineStr">
        <is>
          <t>Profit_Factor</t>
        </is>
      </c>
      <c r="L80" s="8" t="inlineStr">
        <is>
          <t>Trading_Days</t>
        </is>
      </c>
      <c r="M80" s="8" t="inlineStr">
        <is>
          <t>Trading_Years</t>
        </is>
      </c>
      <c r="N80" s="8" t="inlineStr">
        <is>
          <t>Start_Date</t>
        </is>
      </c>
      <c r="O80" s="8" t="inlineStr">
        <is>
          <t>End_Date</t>
        </is>
      </c>
      <c r="P80" s="8" t="inlineStr">
        <is>
          <t>Winning</t>
        </is>
      </c>
      <c r="Q80" s="8" t="inlineStr">
        <is>
          <t>Losing</t>
        </is>
      </c>
      <c r="R80" s="8" t="inlineStr">
        <is>
          <t>ALPHA</t>
        </is>
      </c>
    </row>
    <row r="81">
      <c r="A81" s="5" t="inlineStr">
        <is>
          <t>ALL_PAIRS</t>
        </is>
      </c>
      <c r="B81" s="5" t="n">
        <v>2.71</v>
      </c>
      <c r="C81" s="5" t="n">
        <v>275</v>
      </c>
      <c r="D81" s="5">
        <f>ROUND(IF(C81&gt;0, (P81/C81)*100, 0), 2)</f>
        <v/>
      </c>
      <c r="E81" s="5" t="n">
        <v>1200.98</v>
      </c>
      <c r="F81" s="5" t="n">
        <v>410</v>
      </c>
      <c r="G81" s="5">
        <f>ROUND(F81*2, 2)</f>
        <v/>
      </c>
      <c r="H81" s="5">
        <f>ROUND(G81+E81, 2)</f>
        <v/>
      </c>
      <c r="I81" s="5">
        <f>ROUND(IF(G81&gt;0, (E81/G81)*100, 0), 2)</f>
        <v/>
      </c>
      <c r="J81" s="5">
        <f>ROUND(IF(AND(G81&gt;0, M81&gt;0), ((1+I81/100)^(1/M81)-1)*100, 0), 2)</f>
        <v/>
      </c>
      <c r="K81" s="5" t="n">
        <v>1.5</v>
      </c>
      <c r="L81" s="5" t="n">
        <v>2186</v>
      </c>
      <c r="M81" s="5">
        <f>ROUND(L81/365, 2)</f>
        <v/>
      </c>
      <c r="N81" s="5" t="inlineStr">
        <is>
          <t>2020-01-01</t>
        </is>
      </c>
      <c r="O81" s="5" t="inlineStr">
        <is>
          <t>2025-12-26</t>
        </is>
      </c>
      <c r="P81" s="5" t="n">
        <v>101</v>
      </c>
      <c r="Q81" s="5" t="n">
        <v>38</v>
      </c>
      <c r="R81" s="5">
        <f>ROUND(B81*SQRT(C81), 2)</f>
        <v/>
      </c>
    </row>
    <row r="82">
      <c r="A82" s="9" t="inlineStr">
        <is>
          <t>STRATEGY TOTAL</t>
        </is>
      </c>
      <c r="B82" s="9">
        <f>ROUND(AVERAGE(B81:B81), 2)</f>
        <v/>
      </c>
      <c r="C82" s="9">
        <f>SUM(C81:C81)</f>
        <v/>
      </c>
      <c r="D82" s="9">
        <f>ROUND(IF(C82&gt;0, (P82/C82)*100, 0), 2)</f>
        <v/>
      </c>
      <c r="E82" s="9">
        <f>ROUND(SUM(E81:E81), 2)</f>
        <v/>
      </c>
      <c r="F82" s="9">
        <f>ROUND(SUM(F81:F81), 2)</f>
        <v/>
      </c>
      <c r="G82" s="9">
        <f>ROUND(SUM(G81:G81), 2)</f>
        <v/>
      </c>
      <c r="H82" s="9">
        <f>ROUND(SUM(H81:H81), 2)</f>
        <v/>
      </c>
      <c r="I82" s="9">
        <f>ROUND(IF(G82&gt;0, (E82/G82)*100, 0), 2)</f>
        <v/>
      </c>
      <c r="J82" s="9">
        <f>ROUND(AVERAGE(J81:J81), 2)</f>
        <v/>
      </c>
      <c r="K82" s="9">
        <f>ROUND(AVERAGE(K81:K81), 2)</f>
        <v/>
      </c>
      <c r="L82" s="9" t="n"/>
      <c r="M82" s="9" t="n"/>
      <c r="N82" s="9" t="n"/>
      <c r="O82" s="9" t="n"/>
      <c r="P82" s="9">
        <f>SUM(P81:P81)</f>
        <v/>
      </c>
      <c r="Q82" s="9">
        <f>SUM(Q81:Q81)</f>
        <v/>
      </c>
      <c r="R82" s="9">
        <f>ROUND(B82*SQRT(C82), 2)</f>
        <v/>
      </c>
    </row>
  </sheetData>
  <mergeCells count="10">
    <mergeCell ref="A62:R62"/>
    <mergeCell ref="A69:R69"/>
    <mergeCell ref="A2:R2"/>
    <mergeCell ref="A11:R11"/>
    <mergeCell ref="A42:R42"/>
    <mergeCell ref="A1:R1"/>
    <mergeCell ref="A79:R79"/>
    <mergeCell ref="A31:R31"/>
    <mergeCell ref="A18:R18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6" t="inlineStr">
        <is>
          <t>PAIR CAPITAL DISTRIBUTION WITHIN STRATEGIES</t>
        </is>
      </c>
    </row>
    <row r="3">
      <c r="A3" s="7" t="inlineStr">
        <is>
          <t>STRATEGY: 7th_Strategy (2 pairs)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Currency_Pair</t>
        </is>
      </c>
      <c r="B4" s="8" t="inlineStr">
        <is>
          <t>Equal_%</t>
        </is>
      </c>
      <c r="C4" s="8" t="inlineStr">
        <is>
          <t>Inv_Vol_%</t>
        </is>
      </c>
      <c r="D4" s="8" t="inlineStr">
        <is>
          <t>Sharpe_%</t>
        </is>
      </c>
      <c r="E4" s="8" t="inlineStr">
        <is>
          <t>Risk_Parity_%</t>
        </is>
      </c>
      <c r="F4" s="8" t="inlineStr">
        <is>
          <t>Max_Sharpe_%</t>
        </is>
      </c>
      <c r="G4" s="8" t="inlineStr">
        <is>
          <t>Sharpe_Ratio</t>
        </is>
      </c>
      <c r="H4" s="8" t="inlineStr">
        <is>
          <t>Return_%</t>
        </is>
      </c>
      <c r="I4" s="8" t="inlineStr">
        <is>
          <t>XIRR_%</t>
        </is>
      </c>
      <c r="J4" s="8" t="inlineStr">
        <is>
          <t>Max_DD</t>
        </is>
      </c>
      <c r="K4" s="8" t="inlineStr">
        <is>
          <t>Initial_Cap</t>
        </is>
      </c>
      <c r="L4" s="8" t="inlineStr">
        <is>
          <t>Profit</t>
        </is>
      </c>
    </row>
    <row r="5">
      <c r="A5" s="5" t="inlineStr">
        <is>
          <t>XAUUSD</t>
        </is>
      </c>
      <c r="B5" s="5">
        <f>ROUND(100/2, 2)</f>
        <v/>
      </c>
      <c r="C5" s="5" t="n">
        <v>56.46</v>
      </c>
      <c r="D5" s="5" t="n">
        <v>47.78</v>
      </c>
      <c r="E5" s="5" t="n">
        <v>54.26</v>
      </c>
      <c r="F5" s="5" t="n">
        <v>56.06</v>
      </c>
      <c r="G5" s="5" t="n">
        <v>1.4</v>
      </c>
      <c r="H5" s="5">
        <f>ROUND(IF(K5&gt;0, (L5/K5)*100, 0), 2)</f>
        <v/>
      </c>
      <c r="I5" s="5">
        <f>ROUND(IF(H5&gt;0, ((1+H5/100)^(1/5.5370)-1)*100, 0), 2)</f>
        <v/>
      </c>
      <c r="J5" s="5" t="n">
        <v>580</v>
      </c>
      <c r="K5" s="5">
        <f>ROUND(J5*2, 2)</f>
        <v/>
      </c>
      <c r="L5" s="5" t="n">
        <v>2068.39</v>
      </c>
    </row>
    <row r="6">
      <c r="A6" s="5" t="inlineStr">
        <is>
          <t>XAGUSD</t>
        </is>
      </c>
      <c r="B6" s="5">
        <f>ROUND(100/2, 2)</f>
        <v/>
      </c>
      <c r="C6" s="5" t="n">
        <v>43.54</v>
      </c>
      <c r="D6" s="5" t="n">
        <v>52.22</v>
      </c>
      <c r="E6" s="5" t="n">
        <v>45.74</v>
      </c>
      <c r="F6" s="5" t="n">
        <v>43.94</v>
      </c>
      <c r="G6" s="5" t="n">
        <v>1.53</v>
      </c>
      <c r="H6" s="5">
        <f>ROUND(IF(K6&gt;0, (L6/K6)*100, 0), 2)</f>
        <v/>
      </c>
      <c r="I6" s="5">
        <f>ROUND(IF(H6&gt;0, ((1+H6/100)^(1/5.8548)-1)*100, 0), 2)</f>
        <v/>
      </c>
      <c r="J6" s="5" t="n">
        <v>752</v>
      </c>
      <c r="K6" s="5">
        <f>ROUND(J6*2, 2)</f>
        <v/>
      </c>
      <c r="L6" s="5" t="n">
        <v>2493.77</v>
      </c>
    </row>
    <row r="7">
      <c r="A7" s="23" t="inlineStr">
        <is>
          <t>TOTAL</t>
        </is>
      </c>
      <c r="B7" s="23">
        <f>ROUND(SUM(B5:B6), 2)</f>
        <v/>
      </c>
      <c r="C7" s="23">
        <f>ROUND(SUM(C5:C6), 2)</f>
        <v/>
      </c>
      <c r="D7" s="23">
        <f>ROUND(SUM(D5:D6), 2)</f>
        <v/>
      </c>
      <c r="E7" s="23">
        <f>ROUND(SUM(E5:E6), 2)</f>
        <v/>
      </c>
      <c r="F7" s="23">
        <f>ROUND(SUM(F5:F6), 2)</f>
        <v/>
      </c>
      <c r="G7" s="23">
        <f>ROUND(AVERAGE(G5:G6), 2)</f>
        <v/>
      </c>
      <c r="H7" s="23" t="n"/>
      <c r="I7" s="23" t="n"/>
      <c r="J7" s="23">
        <f>ROUND(SUM(J5:J6), 2)</f>
        <v/>
      </c>
      <c r="K7" s="23">
        <f>ROUND(SUM(K5:K6), 2)</f>
        <v/>
      </c>
      <c r="L7" s="23">
        <f>ROUND(SUM(L5:L6), 2)</f>
        <v/>
      </c>
    </row>
    <row r="10">
      <c r="A10" s="10" t="inlineStr">
        <is>
          <t>STRATEGY: Falcon (2 pairs)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8" t="inlineStr">
        <is>
          <t>Currency_Pair</t>
        </is>
      </c>
      <c r="B11" s="8" t="inlineStr">
        <is>
          <t>Equal_%</t>
        </is>
      </c>
      <c r="C11" s="8" t="inlineStr">
        <is>
          <t>Inv_Vol_%</t>
        </is>
      </c>
      <c r="D11" s="8" t="inlineStr">
        <is>
          <t>Sharpe_%</t>
        </is>
      </c>
      <c r="E11" s="8" t="inlineStr">
        <is>
          <t>Risk_Parity_%</t>
        </is>
      </c>
      <c r="F11" s="8" t="inlineStr">
        <is>
          <t>Max_Sharpe_%</t>
        </is>
      </c>
      <c r="G11" s="8" t="inlineStr">
        <is>
          <t>Sharpe_Ratio</t>
        </is>
      </c>
      <c r="H11" s="8" t="inlineStr">
        <is>
          <t>Return_%</t>
        </is>
      </c>
      <c r="I11" s="8" t="inlineStr">
        <is>
          <t>XIRR_%</t>
        </is>
      </c>
      <c r="J11" s="8" t="inlineStr">
        <is>
          <t>Max_DD</t>
        </is>
      </c>
      <c r="K11" s="8" t="inlineStr">
        <is>
          <t>Initial_Cap</t>
        </is>
      </c>
      <c r="L11" s="8" t="inlineStr">
        <is>
          <t>Profit</t>
        </is>
      </c>
    </row>
    <row r="12">
      <c r="A12" s="5" t="inlineStr">
        <is>
          <t>V5</t>
        </is>
      </c>
      <c r="B12" s="5">
        <f>ROUND(100/2, 2)</f>
        <v/>
      </c>
      <c r="C12" s="5" t="n">
        <v>83.72</v>
      </c>
      <c r="D12" s="5" t="n">
        <v>59.72</v>
      </c>
      <c r="E12" s="5" t="n">
        <v>69.38</v>
      </c>
      <c r="F12" s="5" t="n">
        <v>90.88</v>
      </c>
      <c r="G12" s="5" t="n">
        <v>1.26</v>
      </c>
      <c r="H12" s="5">
        <f>ROUND(IF(K12&gt;0, (L12/K12)*100, 0), 2)</f>
        <v/>
      </c>
      <c r="I12" s="5">
        <f>ROUND(IF(H12&gt;0, ((1+H12/100)^(1/4.7973)-1)*100, 0), 2)</f>
        <v/>
      </c>
      <c r="J12" s="5" t="n">
        <v>556</v>
      </c>
      <c r="K12" s="5">
        <f>ROUND(J12*2, 2)</f>
        <v/>
      </c>
      <c r="L12" s="5" t="n">
        <v>1912</v>
      </c>
    </row>
    <row r="13">
      <c r="A13" s="5" t="inlineStr">
        <is>
          <t>v5-v2 - Tp 60,SL 60 all day</t>
        </is>
      </c>
      <c r="B13" s="5">
        <f>ROUND(100/2, 2)</f>
        <v/>
      </c>
      <c r="C13" s="5" t="n">
        <v>16.28</v>
      </c>
      <c r="D13" s="5" t="n">
        <v>40.28</v>
      </c>
      <c r="E13" s="5" t="n">
        <v>30.62</v>
      </c>
      <c r="F13" s="5" t="n">
        <v>9.119999999999999</v>
      </c>
      <c r="G13" s="5" t="n">
        <v>0.85</v>
      </c>
      <c r="H13" s="5">
        <f>ROUND(IF(K13&gt;0, (L13/K13)*100, 0), 2)</f>
        <v/>
      </c>
      <c r="I13" s="5">
        <f>ROUND(IF(H13&gt;0, ((1+H13/100)^(1/4.9890)-1)*100, 0), 2)</f>
        <v/>
      </c>
      <c r="J13" s="5" t="n">
        <v>2860</v>
      </c>
      <c r="K13" s="5">
        <f>ROUND(J13*2, 2)</f>
        <v/>
      </c>
      <c r="L13" s="5" t="n">
        <v>7529.96</v>
      </c>
    </row>
    <row r="14">
      <c r="A14" s="23" t="inlineStr">
        <is>
          <t>TOTAL</t>
        </is>
      </c>
      <c r="B14" s="23">
        <f>ROUND(SUM(B12:B13), 2)</f>
        <v/>
      </c>
      <c r="C14" s="23">
        <f>ROUND(SUM(C12:C13), 2)</f>
        <v/>
      </c>
      <c r="D14" s="23">
        <f>ROUND(SUM(D12:D13), 2)</f>
        <v/>
      </c>
      <c r="E14" s="23">
        <f>ROUND(SUM(E12:E13), 2)</f>
        <v/>
      </c>
      <c r="F14" s="23">
        <f>ROUND(SUM(F12:F13), 2)</f>
        <v/>
      </c>
      <c r="G14" s="23">
        <f>ROUND(AVERAGE(G12:G13), 2)</f>
        <v/>
      </c>
      <c r="H14" s="23" t="n"/>
      <c r="I14" s="23" t="n"/>
      <c r="J14" s="23">
        <f>ROUND(SUM(J12:J13), 2)</f>
        <v/>
      </c>
      <c r="K14" s="23">
        <f>ROUND(SUM(K12:K13), 2)</f>
        <v/>
      </c>
      <c r="L14" s="23">
        <f>ROUND(SUM(L12:L13), 2)</f>
        <v/>
      </c>
    </row>
    <row r="17">
      <c r="A17" s="11" t="inlineStr">
        <is>
          <t>STRATEGY: Gold_Dip (8 pairs)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8" t="inlineStr">
        <is>
          <t>Currency_Pair</t>
        </is>
      </c>
      <c r="B18" s="8" t="inlineStr">
        <is>
          <t>Equal_%</t>
        </is>
      </c>
      <c r="C18" s="8" t="inlineStr">
        <is>
          <t>Inv_Vol_%</t>
        </is>
      </c>
      <c r="D18" s="8" t="inlineStr">
        <is>
          <t>Sharpe_%</t>
        </is>
      </c>
      <c r="E18" s="8" t="inlineStr">
        <is>
          <t>Risk_Parity_%</t>
        </is>
      </c>
      <c r="F18" s="8" t="inlineStr">
        <is>
          <t>Max_Sharpe_%</t>
        </is>
      </c>
      <c r="G18" s="8" t="inlineStr">
        <is>
          <t>Sharpe_Ratio</t>
        </is>
      </c>
      <c r="H18" s="8" t="inlineStr">
        <is>
          <t>Return_%</t>
        </is>
      </c>
      <c r="I18" s="8" t="inlineStr">
        <is>
          <t>XIRR_%</t>
        </is>
      </c>
      <c r="J18" s="8" t="inlineStr">
        <is>
          <t>Max_DD</t>
        </is>
      </c>
      <c r="K18" s="8" t="inlineStr">
        <is>
          <t>Initial_Cap</t>
        </is>
      </c>
      <c r="L18" s="8" t="inlineStr">
        <is>
          <t>Profit</t>
        </is>
      </c>
    </row>
    <row r="19">
      <c r="A19" s="5" t="inlineStr">
        <is>
          <t>EURAUD</t>
        </is>
      </c>
      <c r="B19" s="5">
        <f>ROUND(100/8, 2)</f>
        <v/>
      </c>
      <c r="C19" s="5" t="n">
        <v>3.39</v>
      </c>
      <c r="D19" s="5" t="n">
        <v>13.33</v>
      </c>
      <c r="E19" s="5" t="n">
        <v>3.8</v>
      </c>
      <c r="F19" s="5" t="n">
        <v>1.81</v>
      </c>
      <c r="G19" s="5" t="n">
        <v>5.29</v>
      </c>
      <c r="H19" s="5">
        <f>ROUND(IF(K19&gt;0, (L19/K19)*100, 0), 2)</f>
        <v/>
      </c>
      <c r="I19" s="5">
        <f>ROUND(IF(H19&gt;0, ((1+H19/100)^(1/5.1534)-1)*100, 0), 2)</f>
        <v/>
      </c>
      <c r="J19" s="5" t="n">
        <v>778</v>
      </c>
      <c r="K19" s="5">
        <f>ROUND(J19*2, 2)</f>
        <v/>
      </c>
      <c r="L19" s="5" t="n">
        <v>1364.46</v>
      </c>
    </row>
    <row r="20">
      <c r="A20" s="5" t="inlineStr">
        <is>
          <t>GBPUSD</t>
        </is>
      </c>
      <c r="B20" s="5">
        <f>ROUND(100/8, 2)</f>
        <v/>
      </c>
      <c r="C20" s="5" t="n">
        <v>6.45</v>
      </c>
      <c r="D20" s="5" t="n">
        <v>7.05</v>
      </c>
      <c r="E20" s="5" t="n">
        <v>3.84</v>
      </c>
      <c r="F20" s="5" t="n">
        <v>1.56</v>
      </c>
      <c r="G20" s="5" t="n">
        <v>2.8</v>
      </c>
      <c r="H20" s="5">
        <f>ROUND(IF(K20&gt;0, (L20/K20)*100, 0), 2)</f>
        <v/>
      </c>
      <c r="I20" s="5">
        <f>ROUND(IF(H20&gt;0, ((1+H20/100)^(1/5.0904)-1)*100, 0), 2)</f>
        <v/>
      </c>
      <c r="J20" s="5" t="n">
        <v>408.1</v>
      </c>
      <c r="K20" s="5">
        <f>ROUND(J20*2, 2)</f>
        <v/>
      </c>
      <c r="L20" s="5" t="n">
        <v>614.49</v>
      </c>
    </row>
    <row r="21">
      <c r="A21" s="5" t="inlineStr">
        <is>
          <t>EURUSD</t>
        </is>
      </c>
      <c r="B21" s="5">
        <f>ROUND(100/8, 2)</f>
        <v/>
      </c>
      <c r="C21" s="5" t="n">
        <v>17.02</v>
      </c>
      <c r="D21" s="5" t="n">
        <v>8.970000000000001</v>
      </c>
      <c r="E21" s="5" t="n">
        <v>12.86</v>
      </c>
      <c r="F21" s="5" t="n">
        <v>10.07</v>
      </c>
      <c r="G21" s="5" t="n">
        <v>3.56</v>
      </c>
      <c r="H21" s="5">
        <f>ROUND(IF(K21&gt;0, (L21/K21)*100, 0), 2)</f>
        <v/>
      </c>
      <c r="I21" s="5">
        <f>ROUND(IF(H21&gt;0, ((1+H21/100)^(1/5.2082)-1)*100, 0), 2)</f>
        <v/>
      </c>
      <c r="J21" s="5" t="n">
        <v>154.8</v>
      </c>
      <c r="K21" s="5">
        <f>ROUND(J21*2, 2)</f>
        <v/>
      </c>
      <c r="L21" s="5" t="n">
        <v>447.57</v>
      </c>
    </row>
    <row r="22">
      <c r="A22" s="5" t="inlineStr">
        <is>
          <t>EURJPY</t>
        </is>
      </c>
      <c r="B22" s="5">
        <f>ROUND(100/8, 2)</f>
        <v/>
      </c>
      <c r="C22" s="5" t="n">
        <v>28.26</v>
      </c>
      <c r="D22" s="5" t="n">
        <v>11.39</v>
      </c>
      <c r="E22" s="5" t="n">
        <v>27.11</v>
      </c>
      <c r="F22" s="5" t="n">
        <v>33</v>
      </c>
      <c r="G22" s="5" t="n">
        <v>4.52</v>
      </c>
      <c r="H22" s="5">
        <f>ROUND(IF(K22&gt;0, (L22/K22)*100, 0), 2)</f>
        <v/>
      </c>
      <c r="I22" s="5">
        <f>ROUND(IF(H22&gt;0, ((1+H22/100)^(1/5.0877)-1)*100, 0), 2)</f>
        <v/>
      </c>
      <c r="J22" s="5" t="n">
        <v>93.2</v>
      </c>
      <c r="K22" s="5">
        <f>ROUND(J22*2, 2)</f>
        <v/>
      </c>
      <c r="L22" s="5" t="n">
        <v>418.73</v>
      </c>
    </row>
    <row r="23">
      <c r="A23" s="5" t="inlineStr">
        <is>
          <t>AUDJPY</t>
        </is>
      </c>
      <c r="B23" s="5">
        <f>ROUND(100/8, 2)</f>
        <v/>
      </c>
      <c r="C23" s="5" t="n">
        <v>9.1</v>
      </c>
      <c r="D23" s="5" t="n">
        <v>8.24</v>
      </c>
      <c r="E23" s="5" t="n">
        <v>6.31</v>
      </c>
      <c r="F23" s="5" t="n">
        <v>2.24</v>
      </c>
      <c r="G23" s="5" t="n">
        <v>3.27</v>
      </c>
      <c r="H23" s="5">
        <f>ROUND(IF(K23&gt;0, (L23/K23)*100, 0), 2)</f>
        <v/>
      </c>
      <c r="I23" s="5">
        <f>ROUND(IF(H23&gt;0, ((1+H23/100)^(1/5.3534)-1)*100, 0), 2)</f>
        <v/>
      </c>
      <c r="J23" s="5" t="n">
        <v>289.6</v>
      </c>
      <c r="K23" s="5">
        <f>ROUND(J23*2, 2)</f>
        <v/>
      </c>
      <c r="L23" s="5" t="n">
        <v>379.31</v>
      </c>
    </row>
    <row r="24">
      <c r="A24" s="5" t="inlineStr">
        <is>
          <t>EURCHF</t>
        </is>
      </c>
      <c r="B24" s="5">
        <f>ROUND(100/8, 2)</f>
        <v/>
      </c>
      <c r="C24" s="5" t="n">
        <v>22.67</v>
      </c>
      <c r="D24" s="5" t="n">
        <v>13.25</v>
      </c>
      <c r="E24" s="5" t="n">
        <v>25.31</v>
      </c>
      <c r="F24" s="5" t="n">
        <v>32.61</v>
      </c>
      <c r="G24" s="5" t="n">
        <v>5.26</v>
      </c>
      <c r="H24" s="5">
        <f>ROUND(IF(K24&gt;0, (L24/K24)*100, 0), 2)</f>
        <v/>
      </c>
      <c r="I24" s="5">
        <f>ROUND(IF(H24&gt;0, ((1+H24/100)^(1/5.0466)-1)*100, 0), 2)</f>
        <v/>
      </c>
      <c r="J24" s="5" t="n">
        <v>116.2</v>
      </c>
      <c r="K24" s="5">
        <f>ROUND(J24*2, 2)</f>
        <v/>
      </c>
      <c r="L24" s="5" t="n">
        <v>552.72</v>
      </c>
    </row>
    <row r="25">
      <c r="A25" s="5" t="inlineStr">
        <is>
          <t>USDCAD</t>
        </is>
      </c>
      <c r="B25" s="5">
        <f>ROUND(100/8, 2)</f>
        <v/>
      </c>
      <c r="C25" s="5" t="n">
        <v>7.39</v>
      </c>
      <c r="D25" s="5" t="n">
        <v>18.17</v>
      </c>
      <c r="E25" s="5" t="n">
        <v>11.3</v>
      </c>
      <c r="F25" s="5" t="n">
        <v>8.59</v>
      </c>
      <c r="G25" s="5" t="n">
        <v>7.21</v>
      </c>
      <c r="H25" s="5">
        <f>ROUND(IF(K25&gt;0, (L25/K25)*100, 0), 2)</f>
        <v/>
      </c>
      <c r="I25" s="5">
        <f>ROUND(IF(H25&gt;0, ((1+H25/100)^(1/5.4192)-1)*100, 0), 2)</f>
        <v/>
      </c>
      <c r="J25" s="5" t="n">
        <v>356.6</v>
      </c>
      <c r="K25" s="5">
        <f>ROUND(J25*2, 2)</f>
        <v/>
      </c>
      <c r="L25" s="5" t="n">
        <v>1000.42</v>
      </c>
    </row>
    <row r="26">
      <c r="A26" s="5" t="inlineStr">
        <is>
          <t>AUDUSD</t>
        </is>
      </c>
      <c r="B26" s="5">
        <f>ROUND(100/8, 2)</f>
        <v/>
      </c>
      <c r="C26" s="5" t="n">
        <v>5.73</v>
      </c>
      <c r="D26" s="5" t="n">
        <v>19.6</v>
      </c>
      <c r="E26" s="5" t="n">
        <v>9.460000000000001</v>
      </c>
      <c r="F26" s="5" t="n">
        <v>10.11</v>
      </c>
      <c r="G26" s="5" t="n">
        <v>7.78</v>
      </c>
      <c r="H26" s="5">
        <f>ROUND(IF(K26&gt;0, (L26/K26)*100, 0), 2)</f>
        <v/>
      </c>
      <c r="I26" s="5">
        <f>ROUND(IF(H26&gt;0, ((1+H26/100)^(1/5.3945)-1)*100, 0), 2)</f>
        <v/>
      </c>
      <c r="J26" s="5" t="n">
        <v>459.6</v>
      </c>
      <c r="K26" s="5">
        <f>ROUND(J26*2, 2)</f>
        <v/>
      </c>
      <c r="L26" s="5" t="n">
        <v>1812.78</v>
      </c>
    </row>
    <row r="27">
      <c r="A27" s="23" t="inlineStr">
        <is>
          <t>TOTAL</t>
        </is>
      </c>
      <c r="B27" s="23">
        <f>ROUND(SUM(B19:B26), 2)</f>
        <v/>
      </c>
      <c r="C27" s="23">
        <f>ROUND(SUM(C19:C26), 2)</f>
        <v/>
      </c>
      <c r="D27" s="23">
        <f>ROUND(SUM(D19:D26), 2)</f>
        <v/>
      </c>
      <c r="E27" s="23">
        <f>ROUND(SUM(E19:E26), 2)</f>
        <v/>
      </c>
      <c r="F27" s="23">
        <f>ROUND(SUM(F19:F26), 2)</f>
        <v/>
      </c>
      <c r="G27" s="23">
        <f>ROUND(AVERAGE(G19:G26), 2)</f>
        <v/>
      </c>
      <c r="H27" s="23" t="n"/>
      <c r="I27" s="23" t="n"/>
      <c r="J27" s="23">
        <f>ROUND(SUM(J19:J26), 2)</f>
        <v/>
      </c>
      <c r="K27" s="23">
        <f>ROUND(SUM(K19:K26), 2)</f>
        <v/>
      </c>
      <c r="L27" s="23">
        <f>ROUND(SUM(L19:L26), 2)</f>
        <v/>
      </c>
    </row>
    <row r="30">
      <c r="A30" s="18" t="inlineStr">
        <is>
          <t>STRATEGY: RSI_Correlation (6 pairs)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8" t="inlineStr">
        <is>
          <t>Currency_Pair</t>
        </is>
      </c>
      <c r="B31" s="8" t="inlineStr">
        <is>
          <t>Equal_%</t>
        </is>
      </c>
      <c r="C31" s="8" t="inlineStr">
        <is>
          <t>Inv_Vol_%</t>
        </is>
      </c>
      <c r="D31" s="8" t="inlineStr">
        <is>
          <t>Sharpe_%</t>
        </is>
      </c>
      <c r="E31" s="8" t="inlineStr">
        <is>
          <t>Risk_Parity_%</t>
        </is>
      </c>
      <c r="F31" s="8" t="inlineStr">
        <is>
          <t>Max_Sharpe_%</t>
        </is>
      </c>
      <c r="G31" s="8" t="inlineStr">
        <is>
          <t>Sharpe_Ratio</t>
        </is>
      </c>
      <c r="H31" s="8" t="inlineStr">
        <is>
          <t>Return_%</t>
        </is>
      </c>
      <c r="I31" s="8" t="inlineStr">
        <is>
          <t>XIRR_%</t>
        </is>
      </c>
      <c r="J31" s="8" t="inlineStr">
        <is>
          <t>Max_DD</t>
        </is>
      </c>
      <c r="K31" s="8" t="inlineStr">
        <is>
          <t>Initial_Cap</t>
        </is>
      </c>
      <c r="L31" s="8" t="inlineStr">
        <is>
          <t>Profit</t>
        </is>
      </c>
    </row>
    <row r="32">
      <c r="A32" s="5" t="inlineStr">
        <is>
          <t>AUDUSD_GBPNZD</t>
        </is>
      </c>
      <c r="B32" s="5">
        <f>ROUND(100/6, 2)</f>
        <v/>
      </c>
      <c r="C32" s="5" t="n">
        <v>12.35</v>
      </c>
      <c r="D32" s="5" t="n">
        <v>24.48</v>
      </c>
      <c r="E32" s="5" t="n">
        <v>18.52</v>
      </c>
      <c r="F32" s="5" t="n">
        <v>16.97</v>
      </c>
      <c r="G32" s="5" t="n">
        <v>1.44</v>
      </c>
      <c r="H32" s="5">
        <f>ROUND(IF(K32&gt;0, (L32/K32)*100, 0), 2)</f>
        <v/>
      </c>
      <c r="I32" s="5">
        <f>ROUND(IF(H32&gt;0, ((1+H32/100)^(1/5.9260)-1)*100, 0), 2)</f>
        <v/>
      </c>
      <c r="J32" s="5" t="n">
        <v>19.28</v>
      </c>
      <c r="K32" s="5">
        <f>ROUND(J32*2, 2)</f>
        <v/>
      </c>
      <c r="L32" s="5" t="n">
        <v>40.96</v>
      </c>
    </row>
    <row r="33">
      <c r="A33" s="5" t="inlineStr">
        <is>
          <t>EURAUD_CADCHF</t>
        </is>
      </c>
      <c r="B33" s="5">
        <f>ROUND(100/6, 2)</f>
        <v/>
      </c>
      <c r="C33" s="5" t="n">
        <v>10.25</v>
      </c>
      <c r="D33" s="5" t="n">
        <v>14.29</v>
      </c>
      <c r="E33" s="5" t="n">
        <v>8.98</v>
      </c>
      <c r="F33" s="5" t="n">
        <v>5.76</v>
      </c>
      <c r="G33" s="5" t="n">
        <v>0.84</v>
      </c>
      <c r="H33" s="5">
        <f>ROUND(IF(K33&gt;0, (L33/K33)*100, 0), 2)</f>
        <v/>
      </c>
      <c r="I33" s="5">
        <f>ROUND(IF(H33&gt;0, ((1+H33/100)^(1/5.9123)-1)*100, 0), 2)</f>
        <v/>
      </c>
      <c r="J33" s="5" t="n">
        <v>23.23</v>
      </c>
      <c r="K33" s="5">
        <f>ROUND(J33*2, 2)</f>
        <v/>
      </c>
      <c r="L33" s="5" t="n">
        <v>34.59</v>
      </c>
    </row>
    <row r="34">
      <c r="A34" s="5" t="inlineStr">
        <is>
          <t>EURGBP_GBPCHF</t>
        </is>
      </c>
      <c r="B34" s="5">
        <f>ROUND(100/6, 2)</f>
        <v/>
      </c>
      <c r="C34" s="5" t="n">
        <v>13.93</v>
      </c>
      <c r="D34" s="5" t="n">
        <v>15.3</v>
      </c>
      <c r="E34" s="5" t="n">
        <v>13.06</v>
      </c>
      <c r="F34" s="5" t="n">
        <v>7.04</v>
      </c>
      <c r="G34" s="5" t="n">
        <v>0.9</v>
      </c>
      <c r="H34" s="5">
        <f>ROUND(IF(K34&gt;0, (L34/K34)*100, 0), 2)</f>
        <v/>
      </c>
      <c r="I34" s="5">
        <f>ROUND(IF(H34&gt;0, ((1+H34/100)^(1/5.9890)-1)*100, 0), 2)</f>
        <v/>
      </c>
      <c r="J34" s="5" t="n">
        <v>17.09</v>
      </c>
      <c r="K34" s="5">
        <f>ROUND(J34*2, 2)</f>
        <v/>
      </c>
      <c r="L34" s="5" t="n">
        <v>21.36</v>
      </c>
    </row>
    <row r="35">
      <c r="A35" s="5" t="inlineStr">
        <is>
          <t>GBPUSD_USDCAD</t>
        </is>
      </c>
      <c r="B35" s="5">
        <f>ROUND(100/6, 2)</f>
        <v/>
      </c>
      <c r="C35" s="5" t="n">
        <v>11.76</v>
      </c>
      <c r="D35" s="5" t="n">
        <v>16.22</v>
      </c>
      <c r="E35" s="5" t="n">
        <v>11.69</v>
      </c>
      <c r="F35" s="5" t="n">
        <v>4.7</v>
      </c>
      <c r="G35" s="5" t="n">
        <v>0.95</v>
      </c>
      <c r="H35" s="5">
        <f>ROUND(IF(K35&gt;0, (L35/K35)*100, 0), 2)</f>
        <v/>
      </c>
      <c r="I35" s="5">
        <f>ROUND(IF(H35&gt;0, ((1+H35/100)^(1/5.7479)-1)*100, 0), 2)</f>
        <v/>
      </c>
      <c r="J35" s="5" t="n">
        <v>20.25</v>
      </c>
      <c r="K35" s="5">
        <f>ROUND(J35*2, 2)</f>
        <v/>
      </c>
      <c r="L35" s="5" t="n">
        <v>18.89</v>
      </c>
    </row>
    <row r="36">
      <c r="A36" s="5" t="inlineStr">
        <is>
          <t>GBPUSD_USDCHF</t>
        </is>
      </c>
      <c r="B36" s="5">
        <f>ROUND(100/6, 2)</f>
        <v/>
      </c>
      <c r="C36" s="5" t="n">
        <v>14.15</v>
      </c>
      <c r="D36" s="5" t="n">
        <v>14.37</v>
      </c>
      <c r="E36" s="5" t="n">
        <v>12.46</v>
      </c>
      <c r="F36" s="5" t="n">
        <v>7.78</v>
      </c>
      <c r="G36" s="5" t="n">
        <v>0.85</v>
      </c>
      <c r="H36" s="5">
        <f>ROUND(IF(K36&gt;0, (L36/K36)*100, 0), 2)</f>
        <v/>
      </c>
      <c r="I36" s="5">
        <f>ROUND(IF(H36&gt;0, ((1+H36/100)^(1/5.9260)-1)*100, 0), 2)</f>
        <v/>
      </c>
      <c r="J36" s="5" t="n">
        <v>16.83</v>
      </c>
      <c r="K36" s="5">
        <f>ROUND(J36*2, 2)</f>
        <v/>
      </c>
      <c r="L36" s="5" t="n">
        <v>24.37</v>
      </c>
    </row>
    <row r="37">
      <c r="A37" s="5" t="inlineStr">
        <is>
          <t>USDCAD_AUDCHF</t>
        </is>
      </c>
      <c r="B37" s="5">
        <f>ROUND(100/6, 2)</f>
        <v/>
      </c>
      <c r="C37" s="5" t="n">
        <v>37.56</v>
      </c>
      <c r="D37" s="5" t="n">
        <v>15.33</v>
      </c>
      <c r="E37" s="5" t="n">
        <v>35.29</v>
      </c>
      <c r="F37" s="5" t="n">
        <v>57.75</v>
      </c>
      <c r="G37" s="5" t="n">
        <v>0.9</v>
      </c>
      <c r="H37" s="5">
        <f>ROUND(IF(K37&gt;0, (L37/K37)*100, 0), 2)</f>
        <v/>
      </c>
      <c r="I37" s="5">
        <f>ROUND(IF(H37&gt;0, ((1+H37/100)^(1/5.9315)-1)*100, 0), 2)</f>
        <v/>
      </c>
      <c r="J37" s="5" t="n">
        <v>6.34</v>
      </c>
      <c r="K37" s="5">
        <f>ROUND(J37*2, 2)</f>
        <v/>
      </c>
      <c r="L37" s="5" t="n">
        <v>24.06</v>
      </c>
    </row>
    <row r="38">
      <c r="A38" s="23" t="inlineStr">
        <is>
          <t>TOTAL</t>
        </is>
      </c>
      <c r="B38" s="23">
        <f>ROUND(SUM(B32:B37), 2)</f>
        <v/>
      </c>
      <c r="C38" s="23">
        <f>ROUND(SUM(C32:C37), 2)</f>
        <v/>
      </c>
      <c r="D38" s="23">
        <f>ROUND(SUM(D32:D37), 2)</f>
        <v/>
      </c>
      <c r="E38" s="23">
        <f>ROUND(SUM(E32:E37), 2)</f>
        <v/>
      </c>
      <c r="F38" s="23">
        <f>ROUND(SUM(F32:F37), 2)</f>
        <v/>
      </c>
      <c r="G38" s="23">
        <f>ROUND(AVERAGE(G32:G37), 2)</f>
        <v/>
      </c>
      <c r="H38" s="23" t="n"/>
      <c r="I38" s="23" t="n"/>
      <c r="J38" s="23">
        <f>ROUND(SUM(J32:J37), 2)</f>
        <v/>
      </c>
      <c r="K38" s="23">
        <f>ROUND(SUM(K32:K37), 2)</f>
        <v/>
      </c>
      <c r="L38" s="23">
        <f>ROUND(SUM(L32:L37), 2)</f>
        <v/>
      </c>
    </row>
    <row r="41">
      <c r="A41" s="19" t="inlineStr">
        <is>
          <t>STRATEGY: RSI_6_Trades (15 pairs)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</row>
    <row r="42">
      <c r="A42" s="8" t="inlineStr">
        <is>
          <t>Currency_Pair</t>
        </is>
      </c>
      <c r="B42" s="8" t="inlineStr">
        <is>
          <t>Equal_%</t>
        </is>
      </c>
      <c r="C42" s="8" t="inlineStr">
        <is>
          <t>Inv_Vol_%</t>
        </is>
      </c>
      <c r="D42" s="8" t="inlineStr">
        <is>
          <t>Sharpe_%</t>
        </is>
      </c>
      <c r="E42" s="8" t="inlineStr">
        <is>
          <t>Risk_Parity_%</t>
        </is>
      </c>
      <c r="F42" s="8" t="inlineStr">
        <is>
          <t>Max_Sharpe_%</t>
        </is>
      </c>
      <c r="G42" s="8" t="inlineStr">
        <is>
          <t>Sharpe_Ratio</t>
        </is>
      </c>
      <c r="H42" s="8" t="inlineStr">
        <is>
          <t>Return_%</t>
        </is>
      </c>
      <c r="I42" s="8" t="inlineStr">
        <is>
          <t>XIRR_%</t>
        </is>
      </c>
      <c r="J42" s="8" t="inlineStr">
        <is>
          <t>Max_DD</t>
        </is>
      </c>
      <c r="K42" s="8" t="inlineStr">
        <is>
          <t>Initial_Cap</t>
        </is>
      </c>
      <c r="L42" s="8" t="inlineStr">
        <is>
          <t>Profit</t>
        </is>
      </c>
    </row>
    <row r="43">
      <c r="A43" s="5" t="inlineStr">
        <is>
          <t>GBPAUD</t>
        </is>
      </c>
      <c r="B43" s="5">
        <f>ROUND(100/15, 2)</f>
        <v/>
      </c>
      <c r="C43" s="5" t="n">
        <v>7.43</v>
      </c>
      <c r="D43" s="5" t="n">
        <v>9.49</v>
      </c>
      <c r="E43" s="5" t="n">
        <v>8.15</v>
      </c>
      <c r="F43" s="5" t="n">
        <v>7.34</v>
      </c>
      <c r="G43" s="5" t="n">
        <v>2.61</v>
      </c>
      <c r="H43" s="5">
        <f>ROUND(IF(K43&gt;0, (L43/K43)*100, 0), 2)</f>
        <v/>
      </c>
      <c r="I43" s="5">
        <f>ROUND(IF(H43&gt;0, ((1+H43/100)^(1/5.6986)-1)*100, 0), 2)</f>
        <v/>
      </c>
      <c r="J43" s="5" t="n">
        <v>323.61</v>
      </c>
      <c r="K43" s="5">
        <f>ROUND(J43*2, 2)</f>
        <v/>
      </c>
      <c r="L43" s="5" t="n">
        <v>475.29</v>
      </c>
    </row>
    <row r="44">
      <c r="A44" s="5" t="inlineStr">
        <is>
          <t>EURAUD</t>
        </is>
      </c>
      <c r="B44" s="5">
        <f>ROUND(100/15, 2)</f>
        <v/>
      </c>
      <c r="C44" s="5" t="n">
        <v>1.91</v>
      </c>
      <c r="D44" s="5" t="n">
        <v>3.67</v>
      </c>
      <c r="E44" s="5" t="n">
        <v>1.01</v>
      </c>
      <c r="F44" s="5" t="n">
        <v>0.2</v>
      </c>
      <c r="G44" s="5" t="n">
        <v>1.01</v>
      </c>
      <c r="H44" s="5">
        <f>ROUND(IF(K44&gt;0, (L44/K44)*100, 0), 2)</f>
        <v/>
      </c>
      <c r="I44" s="5">
        <f>ROUND(IF(H44&gt;0, ((1+H44/100)^(1/5.6959)-1)*100, 0), 2)</f>
        <v/>
      </c>
      <c r="J44" s="5" t="n">
        <v>1262.53</v>
      </c>
      <c r="K44" s="5">
        <f>ROUND(J44*2, 2)</f>
        <v/>
      </c>
      <c r="L44" s="5" t="n">
        <v>500.63</v>
      </c>
    </row>
    <row r="45">
      <c r="A45" s="5" t="inlineStr">
        <is>
          <t>GBPUSD</t>
        </is>
      </c>
      <c r="B45" s="5">
        <f>ROUND(100/15, 2)</f>
        <v/>
      </c>
      <c r="C45" s="5" t="n">
        <v>3.27</v>
      </c>
      <c r="D45" s="5" t="n">
        <v>5.09</v>
      </c>
      <c r="E45" s="5" t="n">
        <v>1.92</v>
      </c>
      <c r="F45" s="5" t="n">
        <v>0.74</v>
      </c>
      <c r="G45" s="5" t="n">
        <v>1.4</v>
      </c>
      <c r="H45" s="5">
        <f>ROUND(IF(K45&gt;0, (L45/K45)*100, 0), 2)</f>
        <v/>
      </c>
      <c r="I45" s="5">
        <f>ROUND(IF(H45&gt;0, ((1+H45/100)^(1/5.5836)-1)*100, 0), 2)</f>
        <v/>
      </c>
      <c r="J45" s="5" t="n">
        <v>735.54</v>
      </c>
      <c r="K45" s="5">
        <f>ROUND(J45*2, 2)</f>
        <v/>
      </c>
      <c r="L45" s="5" t="n">
        <v>461.92</v>
      </c>
    </row>
    <row r="46">
      <c r="A46" s="5" t="inlineStr">
        <is>
          <t>EURGBP</t>
        </is>
      </c>
      <c r="B46" s="5">
        <f>ROUND(100/15, 2)</f>
        <v/>
      </c>
      <c r="C46" s="5" t="n">
        <v>3.31</v>
      </c>
      <c r="D46" s="5" t="n">
        <v>3.67</v>
      </c>
      <c r="E46" s="5" t="n">
        <v>1.4</v>
      </c>
      <c r="F46" s="5" t="n">
        <v>0.32</v>
      </c>
      <c r="G46" s="5" t="n">
        <v>1.01</v>
      </c>
      <c r="H46" s="5">
        <f>ROUND(IF(K46&gt;0, (L46/K46)*100, 0), 2)</f>
        <v/>
      </c>
      <c r="I46" s="5">
        <f>ROUND(IF(H46&gt;0, ((1+H46/100)^(1/5.5726)-1)*100, 0), 2)</f>
        <v/>
      </c>
      <c r="J46" s="5" t="n">
        <v>727.1</v>
      </c>
      <c r="K46" s="5">
        <f>ROUND(J46*2, 2)</f>
        <v/>
      </c>
      <c r="L46" s="5" t="n">
        <v>267.91</v>
      </c>
    </row>
    <row r="47">
      <c r="A47" s="5" t="inlineStr">
        <is>
          <t>GBPCAD</t>
        </is>
      </c>
      <c r="B47" s="5">
        <f>ROUND(100/15, 2)</f>
        <v/>
      </c>
      <c r="C47" s="5" t="n">
        <v>7.58</v>
      </c>
      <c r="D47" s="5" t="n">
        <v>7.93</v>
      </c>
      <c r="E47" s="5" t="n">
        <v>6.94</v>
      </c>
      <c r="F47" s="5" t="n">
        <v>4.99</v>
      </c>
      <c r="G47" s="5" t="n">
        <v>2.18</v>
      </c>
      <c r="H47" s="5">
        <f>ROUND(IF(K47&gt;0, (L47/K47)*100, 0), 2)</f>
        <v/>
      </c>
      <c r="I47" s="5">
        <f>ROUND(IF(H47&gt;0, ((1+H47/100)^(1/5.6301)-1)*100, 0), 2)</f>
        <v/>
      </c>
      <c r="J47" s="5" t="n">
        <v>317.4</v>
      </c>
      <c r="K47" s="5">
        <f>ROUND(J47*2, 2)</f>
        <v/>
      </c>
      <c r="L47" s="5" t="n">
        <v>372.34</v>
      </c>
    </row>
    <row r="48">
      <c r="A48" s="5" t="inlineStr">
        <is>
          <t>EURCAD</t>
        </is>
      </c>
      <c r="B48" s="5">
        <f>ROUND(100/15, 2)</f>
        <v/>
      </c>
      <c r="C48" s="5" t="n">
        <v>4.94</v>
      </c>
      <c r="D48" s="5" t="n">
        <v>3.97</v>
      </c>
      <c r="E48" s="5" t="n">
        <v>2.26</v>
      </c>
      <c r="F48" s="5" t="n">
        <v>0.73</v>
      </c>
      <c r="G48" s="5" t="n">
        <v>1.09</v>
      </c>
      <c r="H48" s="5">
        <f>ROUND(IF(K48&gt;0, (L48/K48)*100, 0), 2)</f>
        <v/>
      </c>
      <c r="I48" s="5">
        <f>ROUND(IF(H48&gt;0, ((1+H48/100)^(1/5.4822)-1)*100, 0), 2)</f>
        <v/>
      </c>
      <c r="J48" s="5" t="n">
        <v>486.55</v>
      </c>
      <c r="K48" s="5">
        <f>ROUND(J48*2, 2)</f>
        <v/>
      </c>
      <c r="L48" s="5" t="n">
        <v>254.6</v>
      </c>
    </row>
    <row r="49">
      <c r="A49" s="5" t="inlineStr">
        <is>
          <t>EURUSD</t>
        </is>
      </c>
      <c r="B49" s="5">
        <f>ROUND(100/15, 2)</f>
        <v/>
      </c>
      <c r="C49" s="5" t="n">
        <v>17.05</v>
      </c>
      <c r="D49" s="5" t="n">
        <v>11.39</v>
      </c>
      <c r="E49" s="5" t="n">
        <v>22.42</v>
      </c>
      <c r="F49" s="5" t="n">
        <v>39.88</v>
      </c>
      <c r="G49" s="5" t="n">
        <v>3.13</v>
      </c>
      <c r="H49" s="5">
        <f>ROUND(IF(K49&gt;0, (L49/K49)*100, 0), 2)</f>
        <v/>
      </c>
      <c r="I49" s="5">
        <f>ROUND(IF(H49&gt;0, ((1+H49/100)^(1/5.5836)-1)*100, 0), 2)</f>
        <v/>
      </c>
      <c r="J49" s="5" t="n">
        <v>141.11</v>
      </c>
      <c r="K49" s="5">
        <f>ROUND(J49*2, 2)</f>
        <v/>
      </c>
      <c r="L49" s="5" t="n">
        <v>409.53</v>
      </c>
    </row>
    <row r="50">
      <c r="A50" s="5" t="inlineStr">
        <is>
          <t>USDCHF</t>
        </is>
      </c>
      <c r="B50" s="5">
        <f>ROUND(100/15, 2)</f>
        <v/>
      </c>
      <c r="C50" s="5" t="n">
        <v>4.85</v>
      </c>
      <c r="D50" s="5" t="n">
        <v>5.31</v>
      </c>
      <c r="E50" s="5" t="n">
        <v>2.98</v>
      </c>
      <c r="F50" s="5" t="n">
        <v>1.23</v>
      </c>
      <c r="G50" s="5" t="n">
        <v>1.46</v>
      </c>
      <c r="H50" s="5">
        <f>ROUND(IF(K50&gt;0, (L50/K50)*100, 0), 2)</f>
        <v/>
      </c>
      <c r="I50" s="5">
        <f>ROUND(IF(H50&gt;0, ((1+H50/100)^(1/5.5123)-1)*100, 0), 2)</f>
        <v/>
      </c>
      <c r="J50" s="5" t="n">
        <v>495.84</v>
      </c>
      <c r="K50" s="5">
        <f>ROUND(J50*2, 2)</f>
        <v/>
      </c>
      <c r="L50" s="5" t="n">
        <v>334.17</v>
      </c>
    </row>
    <row r="51">
      <c r="A51" s="5" t="inlineStr">
        <is>
          <t>NZDCHF</t>
        </is>
      </c>
      <c r="B51" s="5">
        <f>ROUND(100/15, 2)</f>
        <v/>
      </c>
      <c r="C51" s="5" t="n">
        <v>4.06</v>
      </c>
      <c r="D51" s="5" t="n">
        <v>4.69</v>
      </c>
      <c r="E51" s="5" t="n">
        <v>2.2</v>
      </c>
      <c r="F51" s="5" t="n">
        <v>0.55</v>
      </c>
      <c r="G51" s="5" t="n">
        <v>1.29</v>
      </c>
      <c r="H51" s="5">
        <f>ROUND(IF(K51&gt;0, (L51/K51)*100, 0), 2)</f>
        <v/>
      </c>
      <c r="I51" s="5">
        <f>ROUND(IF(H51&gt;0, ((1+H51/100)^(1/5.6384)-1)*100, 0), 2)</f>
        <v/>
      </c>
      <c r="J51" s="5" t="n">
        <v>592.9299999999999</v>
      </c>
      <c r="K51" s="5">
        <f>ROUND(J51*2, 2)</f>
        <v/>
      </c>
      <c r="L51" s="5" t="n">
        <v>239.85</v>
      </c>
    </row>
    <row r="52">
      <c r="A52" s="5" t="inlineStr">
        <is>
          <t>USDJPY</t>
        </is>
      </c>
      <c r="B52" s="5">
        <f>ROUND(100/15, 2)</f>
        <v/>
      </c>
      <c r="C52" s="5" t="n">
        <v>3.56</v>
      </c>
      <c r="D52" s="5" t="n">
        <v>3.53</v>
      </c>
      <c r="E52" s="5" t="n">
        <v>1.45</v>
      </c>
      <c r="F52" s="5" t="n">
        <v>0.4</v>
      </c>
      <c r="G52" s="5" t="n">
        <v>0.97</v>
      </c>
      <c r="H52" s="5">
        <f>ROUND(IF(K52&gt;0, (L52/K52)*100, 0), 2)</f>
        <v/>
      </c>
      <c r="I52" s="5">
        <f>ROUND(IF(H52&gt;0, ((1+H52/100)^(1/5.5370)-1)*100, 0), 2)</f>
        <v/>
      </c>
      <c r="J52" s="5" t="n">
        <v>674.92</v>
      </c>
      <c r="K52" s="5">
        <f>ROUND(J52*2, 2)</f>
        <v/>
      </c>
      <c r="L52" s="5" t="n">
        <v>306.26</v>
      </c>
    </row>
    <row r="53">
      <c r="A53" s="5" t="inlineStr">
        <is>
          <t>CADCHF</t>
        </is>
      </c>
      <c r="B53" s="5">
        <f>ROUND(100/15, 2)</f>
        <v/>
      </c>
      <c r="C53" s="5" t="n">
        <v>4.35</v>
      </c>
      <c r="D53" s="5" t="n">
        <v>5.57</v>
      </c>
      <c r="E53" s="5" t="n">
        <v>2.79</v>
      </c>
      <c r="F53" s="5" t="n">
        <v>1.08</v>
      </c>
      <c r="G53" s="5" t="n">
        <v>1.53</v>
      </c>
      <c r="H53" s="5">
        <f>ROUND(IF(K53&gt;0, (L53/K53)*100, 0), 2)</f>
        <v/>
      </c>
      <c r="I53" s="5">
        <f>ROUND(IF(H53&gt;0, ((1+H53/100)^(1/5.5041)-1)*100, 0), 2)</f>
        <v/>
      </c>
      <c r="J53" s="5" t="n">
        <v>553.53</v>
      </c>
      <c r="K53" s="5">
        <f>ROUND(J53*2, 2)</f>
        <v/>
      </c>
      <c r="L53" s="5" t="n">
        <v>348.77</v>
      </c>
    </row>
    <row r="54">
      <c r="A54" s="5" t="inlineStr">
        <is>
          <t>GBPCHF</t>
        </is>
      </c>
      <c r="B54" s="5">
        <f>ROUND(100/15, 2)</f>
        <v/>
      </c>
      <c r="C54" s="5" t="n">
        <v>3.15</v>
      </c>
      <c r="D54" s="5" t="n">
        <v>5.57</v>
      </c>
      <c r="E54" s="5" t="n">
        <v>2.02</v>
      </c>
      <c r="F54" s="5" t="n">
        <v>1.04</v>
      </c>
      <c r="G54" s="5" t="n">
        <v>1.53</v>
      </c>
      <c r="H54" s="5">
        <f>ROUND(IF(K54&gt;0, (L54/K54)*100, 0), 2)</f>
        <v/>
      </c>
      <c r="I54" s="5">
        <f>ROUND(IF(H54&gt;0, ((1+H54/100)^(1/5.5370)-1)*100, 0), 2)</f>
        <v/>
      </c>
      <c r="J54" s="5" t="n">
        <v>763.98</v>
      </c>
      <c r="K54" s="5">
        <f>ROUND(J54*2, 2)</f>
        <v/>
      </c>
      <c r="L54" s="5" t="n">
        <v>640.8</v>
      </c>
    </row>
    <row r="55">
      <c r="A55" s="5" t="inlineStr">
        <is>
          <t>EURCHF</t>
        </is>
      </c>
      <c r="B55" s="5">
        <f>ROUND(100/15, 2)</f>
        <v/>
      </c>
      <c r="C55" s="5" t="n">
        <v>9.01</v>
      </c>
      <c r="D55" s="5" t="n">
        <v>6.73</v>
      </c>
      <c r="E55" s="5" t="n">
        <v>7</v>
      </c>
      <c r="F55" s="5" t="n">
        <v>4.18</v>
      </c>
      <c r="G55" s="5" t="n">
        <v>1.85</v>
      </c>
      <c r="H55" s="5">
        <f>ROUND(IF(K55&gt;0, (L55/K55)*100, 0), 2)</f>
        <v/>
      </c>
      <c r="I55" s="5">
        <f>ROUND(IF(H55&gt;0, ((1+H55/100)^(1/5.2685)-1)*100, 0), 2)</f>
        <v/>
      </c>
      <c r="J55" s="5" t="n">
        <v>267.04</v>
      </c>
      <c r="K55" s="5">
        <f>ROUND(J55*2, 2)</f>
        <v/>
      </c>
      <c r="L55" s="5" t="n">
        <v>260.09</v>
      </c>
    </row>
    <row r="56">
      <c r="A56" s="5" t="inlineStr">
        <is>
          <t>USDCAD</t>
        </is>
      </c>
      <c r="B56" s="5">
        <f>ROUND(100/15, 2)</f>
        <v/>
      </c>
      <c r="C56" s="5" t="n">
        <v>9.390000000000001</v>
      </c>
      <c r="D56" s="5" t="n">
        <v>7.89</v>
      </c>
      <c r="E56" s="5" t="n">
        <v>8.56</v>
      </c>
      <c r="F56" s="5" t="n">
        <v>6.81</v>
      </c>
      <c r="G56" s="5" t="n">
        <v>2.17</v>
      </c>
      <c r="H56" s="5">
        <f>ROUND(IF(K56&gt;0, (L56/K56)*100, 0), 2)</f>
        <v/>
      </c>
      <c r="I56" s="5">
        <f>ROUND(IF(H56&gt;0, ((1+H56/100)^(1/5.4575)-1)*100, 0), 2)</f>
        <v/>
      </c>
      <c r="J56" s="5" t="n">
        <v>256.2</v>
      </c>
      <c r="K56" s="5">
        <f>ROUND(J56*2, 2)</f>
        <v/>
      </c>
      <c r="L56" s="5" t="n">
        <v>332.29</v>
      </c>
    </row>
    <row r="57">
      <c r="A57" s="5" t="inlineStr">
        <is>
          <t>AUDUSD</t>
        </is>
      </c>
      <c r="B57" s="5">
        <f>ROUND(100/15, 2)</f>
        <v/>
      </c>
      <c r="C57" s="5" t="n">
        <v>16.14</v>
      </c>
      <c r="D57" s="5" t="n">
        <v>15.5</v>
      </c>
      <c r="E57" s="5" t="n">
        <v>28.88</v>
      </c>
      <c r="F57" s="5" t="n">
        <v>30.52</v>
      </c>
      <c r="G57" s="5" t="n">
        <v>4.26</v>
      </c>
      <c r="H57" s="5">
        <f>ROUND(IF(K57&gt;0, (L57/K57)*100, 0), 2)</f>
        <v/>
      </c>
      <c r="I57" s="5">
        <f>ROUND(IF(H57&gt;0, ((1+H57/100)^(1/5.2685)-1)*100, 0), 2)</f>
        <v/>
      </c>
      <c r="J57" s="5" t="n">
        <v>149.09</v>
      </c>
      <c r="K57" s="5">
        <f>ROUND(J57*2, 2)</f>
        <v/>
      </c>
      <c r="L57" s="5" t="n">
        <v>257.07</v>
      </c>
    </row>
    <row r="58">
      <c r="A58" s="23" t="inlineStr">
        <is>
          <t>TOTAL</t>
        </is>
      </c>
      <c r="B58" s="23">
        <f>ROUND(SUM(B43:B57), 2)</f>
        <v/>
      </c>
      <c r="C58" s="23">
        <f>ROUND(SUM(C43:C57), 2)</f>
        <v/>
      </c>
      <c r="D58" s="23">
        <f>ROUND(SUM(D43:D57), 2)</f>
        <v/>
      </c>
      <c r="E58" s="23">
        <f>ROUND(SUM(E43:E57), 2)</f>
        <v/>
      </c>
      <c r="F58" s="23">
        <f>ROUND(SUM(F43:F57), 2)</f>
        <v/>
      </c>
      <c r="G58" s="23">
        <f>ROUND(AVERAGE(G43:G57), 2)</f>
        <v/>
      </c>
      <c r="H58" s="23" t="n"/>
      <c r="I58" s="23" t="n"/>
      <c r="J58" s="23">
        <f>ROUND(SUM(J43:J57), 2)</f>
        <v/>
      </c>
      <c r="K58" s="23">
        <f>ROUND(SUM(K43:K57), 2)</f>
        <v/>
      </c>
      <c r="L58" s="23">
        <f>ROUND(SUM(L43:L57), 2)</f>
        <v/>
      </c>
    </row>
    <row r="61">
      <c r="A61" s="20" t="inlineStr">
        <is>
          <t>STRATEGY: AURUM (2 pairs)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</row>
    <row r="62">
      <c r="A62" s="8" t="inlineStr">
        <is>
          <t>Currency_Pair</t>
        </is>
      </c>
      <c r="B62" s="8" t="inlineStr">
        <is>
          <t>Equal_%</t>
        </is>
      </c>
      <c r="C62" s="8" t="inlineStr">
        <is>
          <t>Inv_Vol_%</t>
        </is>
      </c>
      <c r="D62" s="8" t="inlineStr">
        <is>
          <t>Sharpe_%</t>
        </is>
      </c>
      <c r="E62" s="8" t="inlineStr">
        <is>
          <t>Risk_Parity_%</t>
        </is>
      </c>
      <c r="F62" s="8" t="inlineStr">
        <is>
          <t>Max_Sharpe_%</t>
        </is>
      </c>
      <c r="G62" s="8" t="inlineStr">
        <is>
          <t>Sharpe_Ratio</t>
        </is>
      </c>
      <c r="H62" s="8" t="inlineStr">
        <is>
          <t>Return_%</t>
        </is>
      </c>
      <c r="I62" s="8" t="inlineStr">
        <is>
          <t>XIRR_%</t>
        </is>
      </c>
      <c r="J62" s="8" t="inlineStr">
        <is>
          <t>Max_DD</t>
        </is>
      </c>
      <c r="K62" s="8" t="inlineStr">
        <is>
          <t>Initial_Cap</t>
        </is>
      </c>
      <c r="L62" s="8" t="inlineStr">
        <is>
          <t>Profit</t>
        </is>
      </c>
    </row>
    <row r="63">
      <c r="A63" s="5" t="inlineStr">
        <is>
          <t>XAUUSD_Grid</t>
        </is>
      </c>
      <c r="B63" s="5">
        <f>ROUND(100/2, 2)</f>
        <v/>
      </c>
      <c r="C63" s="5" t="n">
        <v>32.96</v>
      </c>
      <c r="D63" s="5" t="n">
        <v>25.74</v>
      </c>
      <c r="E63" s="5" t="n">
        <v>36.52</v>
      </c>
      <c r="F63" s="5" t="n">
        <v>22.56</v>
      </c>
      <c r="G63" s="5" t="n">
        <v>2</v>
      </c>
      <c r="H63" s="5">
        <f>ROUND(IF(K63&gt;0, (L63/K63)*100, 0), 2)</f>
        <v/>
      </c>
      <c r="I63" s="5">
        <f>ROUND(IF(H63&gt;0, ((1+H63/100)^(1/5.5370)-1)*100, 0), 2)</f>
        <v/>
      </c>
      <c r="J63" s="5" t="n">
        <v>6752</v>
      </c>
      <c r="K63" s="5">
        <f>ROUND(J63*2, 2)</f>
        <v/>
      </c>
      <c r="L63" s="5" t="n">
        <v>21525.9</v>
      </c>
    </row>
    <row r="64">
      <c r="A64" s="5" t="inlineStr">
        <is>
          <t>USDJPY_Grid</t>
        </is>
      </c>
      <c r="B64" s="5">
        <f>ROUND(100/2, 2)</f>
        <v/>
      </c>
      <c r="C64" s="5" t="n">
        <v>67.04000000000001</v>
      </c>
      <c r="D64" s="5" t="n">
        <v>74.26000000000001</v>
      </c>
      <c r="E64" s="5" t="n">
        <v>63.48</v>
      </c>
      <c r="F64" s="5" t="n">
        <v>77.44</v>
      </c>
      <c r="G64" s="5" t="n">
        <v>5.77</v>
      </c>
      <c r="H64" s="5">
        <f>ROUND(IF(K64&gt;0, (L64/K64)*100, 0), 2)</f>
        <v/>
      </c>
      <c r="I64" s="5">
        <f>ROUND(IF(H64&gt;0, ((1+H64/100)^(1/5.9178)-1)*100, 0), 2)</f>
        <v/>
      </c>
      <c r="J64" s="5" t="n">
        <v>3319</v>
      </c>
      <c r="K64" s="5">
        <f>ROUND(J64*2, 2)</f>
        <v/>
      </c>
      <c r="L64" s="5" t="n">
        <v>6189.67</v>
      </c>
    </row>
    <row r="65">
      <c r="A65" s="23" t="inlineStr">
        <is>
          <t>TOTAL</t>
        </is>
      </c>
      <c r="B65" s="23">
        <f>ROUND(SUM(B63:B64), 2)</f>
        <v/>
      </c>
      <c r="C65" s="23">
        <f>ROUND(SUM(C63:C64), 2)</f>
        <v/>
      </c>
      <c r="D65" s="23">
        <f>ROUND(SUM(D63:D64), 2)</f>
        <v/>
      </c>
      <c r="E65" s="23">
        <f>ROUND(SUM(E63:E64), 2)</f>
        <v/>
      </c>
      <c r="F65" s="23">
        <f>ROUND(SUM(F63:F64), 2)</f>
        <v/>
      </c>
      <c r="G65" s="23">
        <f>ROUND(AVERAGE(G63:G64), 2)</f>
        <v/>
      </c>
      <c r="H65" s="23" t="n"/>
      <c r="I65" s="23" t="n"/>
      <c r="J65" s="23">
        <f>ROUND(SUM(J63:J64), 2)</f>
        <v/>
      </c>
      <c r="K65" s="23">
        <f>ROUND(SUM(K63:K64), 2)</f>
        <v/>
      </c>
      <c r="L65" s="23">
        <f>ROUND(SUM(L63:L64), 2)</f>
        <v/>
      </c>
    </row>
    <row r="68">
      <c r="A68" s="21" t="inlineStr">
        <is>
          <t>STRATEGY: PairTradingEA (5 pairs)</t>
        </is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</row>
    <row r="69">
      <c r="A69" s="8" t="inlineStr">
        <is>
          <t>Currency_Pair</t>
        </is>
      </c>
      <c r="B69" s="8" t="inlineStr">
        <is>
          <t>Equal_%</t>
        </is>
      </c>
      <c r="C69" s="8" t="inlineStr">
        <is>
          <t>Inv_Vol_%</t>
        </is>
      </c>
      <c r="D69" s="8" t="inlineStr">
        <is>
          <t>Sharpe_%</t>
        </is>
      </c>
      <c r="E69" s="8" t="inlineStr">
        <is>
          <t>Risk_Parity_%</t>
        </is>
      </c>
      <c r="F69" s="8" t="inlineStr">
        <is>
          <t>Max_Sharpe_%</t>
        </is>
      </c>
      <c r="G69" s="8" t="inlineStr">
        <is>
          <t>Sharpe_Ratio</t>
        </is>
      </c>
      <c r="H69" s="8" t="inlineStr">
        <is>
          <t>Return_%</t>
        </is>
      </c>
      <c r="I69" s="8" t="inlineStr">
        <is>
          <t>XIRR_%</t>
        </is>
      </c>
      <c r="J69" s="8" t="inlineStr">
        <is>
          <t>Max_DD</t>
        </is>
      </c>
      <c r="K69" s="8" t="inlineStr">
        <is>
          <t>Initial_Cap</t>
        </is>
      </c>
      <c r="L69" s="8" t="inlineStr">
        <is>
          <t>Profit</t>
        </is>
      </c>
    </row>
    <row r="70">
      <c r="A70" s="5" t="inlineStr">
        <is>
          <t>AUDUSD_AUDCAD</t>
        </is>
      </c>
      <c r="B70" s="5">
        <f>ROUND(100/5, 2)</f>
        <v/>
      </c>
      <c r="C70" s="5" t="n">
        <v>47.73</v>
      </c>
      <c r="D70" s="5" t="n">
        <v>30.29</v>
      </c>
      <c r="E70" s="5" t="n">
        <v>31.72</v>
      </c>
      <c r="F70" s="5" t="n">
        <v>60.13</v>
      </c>
      <c r="G70" s="5" t="n">
        <v>1.31</v>
      </c>
      <c r="H70" s="5">
        <f>ROUND(IF(K70&gt;0, (L70/K70)*100, 0), 2)</f>
        <v/>
      </c>
      <c r="I70" s="5">
        <f>ROUND(IF(H70&gt;0, ((1+H70/100)^(1/5.9890)-1)*100, 0), 2)</f>
        <v/>
      </c>
      <c r="J70" s="5" t="n">
        <v>705</v>
      </c>
      <c r="K70" s="5">
        <f>ROUND(J70*2, 2)</f>
        <v/>
      </c>
      <c r="L70" s="5" t="n">
        <v>1704.23</v>
      </c>
    </row>
    <row r="71">
      <c r="A71" s="5" t="inlineStr">
        <is>
          <t>EURGBP_GBPCHF</t>
        </is>
      </c>
      <c r="B71" s="5">
        <f>ROUND(100/5, 2)</f>
        <v/>
      </c>
      <c r="C71" s="5" t="n">
        <v>18.91</v>
      </c>
      <c r="D71" s="5" t="n">
        <v>19.43</v>
      </c>
      <c r="E71" s="5" t="n">
        <v>17.07</v>
      </c>
      <c r="F71" s="5" t="n">
        <v>17.3</v>
      </c>
      <c r="G71" s="5" t="n">
        <v>0.84</v>
      </c>
      <c r="H71" s="5">
        <f>ROUND(IF(K71&gt;0, (L71/K71)*100, 0), 2)</f>
        <v/>
      </c>
      <c r="I71" s="5">
        <f>ROUND(IF(H71&gt;0, ((1+H71/100)^(1/5.9507)-1)*100, 0), 2)</f>
        <v/>
      </c>
      <c r="J71" s="5" t="n">
        <v>1779</v>
      </c>
      <c r="K71" s="5">
        <f>ROUND(J71*2, 2)</f>
        <v/>
      </c>
      <c r="L71" s="5" t="n">
        <v>4868.1</v>
      </c>
    </row>
    <row r="72">
      <c r="A72" s="5" t="inlineStr">
        <is>
          <t>EURUSD_GBPUSD</t>
        </is>
      </c>
      <c r="B72" s="5">
        <f>ROUND(100/5, 2)</f>
        <v/>
      </c>
      <c r="C72" s="5" t="n">
        <v>16.66</v>
      </c>
      <c r="D72" s="5" t="n">
        <v>13.18</v>
      </c>
      <c r="E72" s="5" t="n">
        <v>17.07</v>
      </c>
      <c r="F72" s="5" t="n">
        <v>5.41</v>
      </c>
      <c r="G72" s="5" t="n">
        <v>0.57</v>
      </c>
      <c r="H72" s="5">
        <f>ROUND(IF(K72&gt;0, (L72/K72)*100, 0), 2)</f>
        <v/>
      </c>
      <c r="I72" s="5">
        <f>ROUND(IF(H72&gt;0, ((1+H72/100)^(1/5.2384)-1)*100, 0), 2)</f>
        <v/>
      </c>
      <c r="J72" s="5" t="n">
        <v>2020</v>
      </c>
      <c r="K72" s="5">
        <f>ROUND(J72*2, 2)</f>
        <v/>
      </c>
      <c r="L72" s="5" t="n">
        <v>2890.32</v>
      </c>
    </row>
    <row r="73">
      <c r="A73" s="5" t="inlineStr">
        <is>
          <t>EURUSD_AUDUSD</t>
        </is>
      </c>
      <c r="B73" s="5">
        <f>ROUND(100/5, 2)</f>
        <v/>
      </c>
      <c r="C73" s="5" t="n">
        <v>9.359999999999999</v>
      </c>
      <c r="D73" s="5" t="n">
        <v>17.53</v>
      </c>
      <c r="E73" s="5" t="n">
        <v>17.07</v>
      </c>
      <c r="F73" s="5" t="n">
        <v>8.32</v>
      </c>
      <c r="G73" s="5" t="n">
        <v>0.76</v>
      </c>
      <c r="H73" s="5">
        <f>ROUND(IF(K73&gt;0, (L73/K73)*100, 0), 2)</f>
        <v/>
      </c>
      <c r="I73" s="5">
        <f>ROUND(IF(H73&gt;0, ((1+H73/100)^(1/5.2384)-1)*100, 0), 2)</f>
        <v/>
      </c>
      <c r="J73" s="5" t="n">
        <v>3596</v>
      </c>
      <c r="K73" s="5">
        <f>ROUND(J73*2, 2)</f>
        <v/>
      </c>
      <c r="L73" s="5" t="n">
        <v>10608.65</v>
      </c>
    </row>
    <row r="74">
      <c r="A74" s="5" t="inlineStr">
        <is>
          <t>USDCAD_AUDCHF</t>
        </is>
      </c>
      <c r="B74" s="5">
        <f>ROUND(100/5, 2)</f>
        <v/>
      </c>
      <c r="C74" s="5" t="n">
        <v>7.35</v>
      </c>
      <c r="D74" s="5" t="n">
        <v>19.57</v>
      </c>
      <c r="E74" s="5" t="n">
        <v>17.07</v>
      </c>
      <c r="F74" s="5" t="n">
        <v>8.84</v>
      </c>
      <c r="G74" s="5" t="n">
        <v>0.85</v>
      </c>
      <c r="H74" s="5">
        <f>ROUND(IF(K74&gt;0, (L74/K74)*100, 0), 2)</f>
        <v/>
      </c>
      <c r="I74" s="5">
        <f>ROUND(IF(H74&gt;0, ((1+H74/100)^(1/5.9890)-1)*100, 0), 2)</f>
        <v/>
      </c>
      <c r="J74" s="5" t="n">
        <v>4579</v>
      </c>
      <c r="K74" s="5">
        <f>ROUND(J74*2, 2)</f>
        <v/>
      </c>
      <c r="L74" s="5" t="n">
        <v>16357.46</v>
      </c>
    </row>
    <row r="75">
      <c r="A75" s="23" t="inlineStr">
        <is>
          <t>TOTAL</t>
        </is>
      </c>
      <c r="B75" s="23">
        <f>ROUND(SUM(B70:B74), 2)</f>
        <v/>
      </c>
      <c r="C75" s="23">
        <f>ROUND(SUM(C70:C74), 2)</f>
        <v/>
      </c>
      <c r="D75" s="23">
        <f>ROUND(SUM(D70:D74), 2)</f>
        <v/>
      </c>
      <c r="E75" s="23">
        <f>ROUND(SUM(E70:E74), 2)</f>
        <v/>
      </c>
      <c r="F75" s="23">
        <f>ROUND(SUM(F70:F74), 2)</f>
        <v/>
      </c>
      <c r="G75" s="23">
        <f>ROUND(AVERAGE(G70:G74), 2)</f>
        <v/>
      </c>
      <c r="H75" s="23" t="n"/>
      <c r="I75" s="23" t="n"/>
      <c r="J75" s="23">
        <f>ROUND(SUM(J70:J74), 2)</f>
        <v/>
      </c>
      <c r="K75" s="23">
        <f>ROUND(SUM(K70:K74), 2)</f>
        <v/>
      </c>
      <c r="L75" s="23">
        <f>ROUND(SUM(L70:L74), 2)</f>
        <v/>
      </c>
    </row>
    <row r="78">
      <c r="A78" s="22" t="inlineStr">
        <is>
          <t>STRATEGY: Reversal_Strategy (1 pairs)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</row>
    <row r="79">
      <c r="A79" s="8" t="inlineStr">
        <is>
          <t>Currency_Pair</t>
        </is>
      </c>
      <c r="B79" s="8" t="inlineStr">
        <is>
          <t>Equal_%</t>
        </is>
      </c>
      <c r="C79" s="8" t="inlineStr">
        <is>
          <t>Inv_Vol_%</t>
        </is>
      </c>
      <c r="D79" s="8" t="inlineStr">
        <is>
          <t>Sharpe_%</t>
        </is>
      </c>
      <c r="E79" s="8" t="inlineStr">
        <is>
          <t>Risk_Parity_%</t>
        </is>
      </c>
      <c r="F79" s="8" t="inlineStr">
        <is>
          <t>Max_Sharpe_%</t>
        </is>
      </c>
      <c r="G79" s="8" t="inlineStr">
        <is>
          <t>Sharpe_Ratio</t>
        </is>
      </c>
      <c r="H79" s="8" t="inlineStr">
        <is>
          <t>Return_%</t>
        </is>
      </c>
      <c r="I79" s="8" t="inlineStr">
        <is>
          <t>XIRR_%</t>
        </is>
      </c>
      <c r="J79" s="8" t="inlineStr">
        <is>
          <t>Max_DD</t>
        </is>
      </c>
      <c r="K79" s="8" t="inlineStr">
        <is>
          <t>Initial_Cap</t>
        </is>
      </c>
      <c r="L79" s="8" t="inlineStr">
        <is>
          <t>Profit</t>
        </is>
      </c>
    </row>
    <row r="80">
      <c r="A80" s="5" t="inlineStr">
        <is>
          <t>ALL_PAIRS</t>
        </is>
      </c>
      <c r="B80" s="5">
        <f>ROUND(100/1, 2)</f>
        <v/>
      </c>
      <c r="C80" s="5" t="n">
        <v>100</v>
      </c>
      <c r="D80" s="5" t="n">
        <v>100</v>
      </c>
      <c r="E80" s="5" t="n">
        <v>100</v>
      </c>
      <c r="F80" s="5" t="n">
        <v>100</v>
      </c>
      <c r="G80" s="5" t="n">
        <v>2.71</v>
      </c>
      <c r="H80" s="5">
        <f>ROUND(IF(K80&gt;0, (L80/K80)*100, 0), 2)</f>
        <v/>
      </c>
      <c r="I80" s="5">
        <f>ROUND(IF(H80&gt;0, ((1+H80/100)^(1/5.9890)-1)*100, 0), 2)</f>
        <v/>
      </c>
      <c r="J80" s="5" t="n">
        <v>410</v>
      </c>
      <c r="K80" s="5">
        <f>ROUND(J80*2, 2)</f>
        <v/>
      </c>
      <c r="L80" s="5" t="n">
        <v>1200.98</v>
      </c>
    </row>
    <row r="81">
      <c r="A81" s="23" t="inlineStr">
        <is>
          <t>TOTAL</t>
        </is>
      </c>
      <c r="B81" s="23">
        <f>ROUND(SUM(B80:B80), 2)</f>
        <v/>
      </c>
      <c r="C81" s="23">
        <f>ROUND(SUM(C80:C80), 2)</f>
        <v/>
      </c>
      <c r="D81" s="23">
        <f>ROUND(SUM(D80:D80), 2)</f>
        <v/>
      </c>
      <c r="E81" s="23">
        <f>ROUND(SUM(E80:E80), 2)</f>
        <v/>
      </c>
      <c r="F81" s="23">
        <f>ROUND(SUM(F80:F80), 2)</f>
        <v/>
      </c>
      <c r="G81" s="23">
        <f>ROUND(AVERAGE(G80:G80), 2)</f>
        <v/>
      </c>
      <c r="H81" s="23" t="n"/>
      <c r="I81" s="23" t="n"/>
      <c r="J81" s="23">
        <f>ROUND(SUM(J80:J80), 2)</f>
        <v/>
      </c>
      <c r="K81" s="23">
        <f>ROUND(SUM(K80:K80), 2)</f>
        <v/>
      </c>
      <c r="L81" s="23">
        <f>ROUND(SUM(L80:L80), 2)</f>
        <v/>
      </c>
    </row>
  </sheetData>
  <mergeCells count="9">
    <mergeCell ref="A78:L78"/>
    <mergeCell ref="A30:L30"/>
    <mergeCell ref="A10:L10"/>
    <mergeCell ref="A41:L41"/>
    <mergeCell ref="A68:L68"/>
    <mergeCell ref="A1:L1"/>
    <mergeCell ref="A61:L61"/>
    <mergeCell ref="A17:L17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6" t="inlineStr">
        <is>
          <t>STRATEGY CAPITAL DISTRIBUTION</t>
        </is>
      </c>
    </row>
    <row r="3">
      <c r="A3" s="24" t="inlineStr">
        <is>
          <t>STRATEGY WEIGHTS BY ALLOCATION METHOD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8" t="inlineStr">
        <is>
          <t>Strategy</t>
        </is>
      </c>
      <c r="B4" s="8" t="inlineStr">
        <is>
          <t>Pairs</t>
        </is>
      </c>
      <c r="C4" s="8" t="inlineStr">
        <is>
          <t>Sharpe</t>
        </is>
      </c>
      <c r="D4" s="8" t="inlineStr">
        <is>
          <t>Return_%</t>
        </is>
      </c>
      <c r="E4" s="8" t="inlineStr">
        <is>
          <t>XIRR_%</t>
        </is>
      </c>
      <c r="F4" s="8" t="inlineStr">
        <is>
          <t>Capital_Req</t>
        </is>
      </c>
      <c r="G4" s="8" t="inlineStr">
        <is>
          <t>Equal_%</t>
        </is>
      </c>
      <c r="H4" s="8" t="inlineStr">
        <is>
          <t>Inv_Vol_%</t>
        </is>
      </c>
      <c r="I4" s="8" t="inlineStr">
        <is>
          <t>Sharpe_%</t>
        </is>
      </c>
      <c r="J4" s="8" t="inlineStr">
        <is>
          <t>Risk_Parity_%</t>
        </is>
      </c>
      <c r="K4" s="8" t="inlineStr">
        <is>
          <t>Max_Sharpe_%</t>
        </is>
      </c>
      <c r="L4" s="8" t="inlineStr">
        <is>
          <t>Profit</t>
        </is>
      </c>
    </row>
    <row r="5">
      <c r="A5" s="5" t="inlineStr">
        <is>
          <t>7th_Strategy</t>
        </is>
      </c>
      <c r="B5" s="5" t="n">
        <v>2</v>
      </c>
      <c r="C5" s="5" t="n">
        <v>1.46</v>
      </c>
      <c r="D5" s="5">
        <f>ROUND(IF(F5&gt;0, (L5/F5)*100, 0), 2)</f>
        <v/>
      </c>
      <c r="E5" s="5">
        <f>ROUND(IF(D5&gt;0, ((1+D5/100)^(1/5.6959)-1)*100, 0), 2)</f>
        <v/>
      </c>
      <c r="F5" s="5" t="n">
        <v>2664</v>
      </c>
      <c r="G5" s="5">
        <f>ROUND(100/8, 2)</f>
        <v/>
      </c>
      <c r="H5" s="5" t="n">
        <v>5.41</v>
      </c>
      <c r="I5" s="5" t="n">
        <v>8.25</v>
      </c>
      <c r="J5" s="5" t="n">
        <v>4.76</v>
      </c>
      <c r="K5" s="5" t="n">
        <v>8.33</v>
      </c>
      <c r="L5" s="5" t="n">
        <v>4562.16</v>
      </c>
    </row>
    <row r="6">
      <c r="A6" s="5" t="inlineStr">
        <is>
          <t>Falcon</t>
        </is>
      </c>
      <c r="B6" s="5" t="n">
        <v>2</v>
      </c>
      <c r="C6" s="5" t="n">
        <v>1.05</v>
      </c>
      <c r="D6" s="5">
        <f>ROUND(IF(F6&gt;0, (L6/F6)*100, 0), 2)</f>
        <v/>
      </c>
      <c r="E6" s="5">
        <f>ROUND(IF(D6&gt;0, ((1+D6/100)^(1/4.8932)-1)*100, 0), 2)</f>
        <v/>
      </c>
      <c r="F6" s="5" t="n">
        <v>6832</v>
      </c>
      <c r="G6" s="5">
        <f>ROUND(100/8, 2)</f>
        <v/>
      </c>
      <c r="H6" s="5" t="n">
        <v>2.11</v>
      </c>
      <c r="I6" s="5" t="n">
        <v>5.94</v>
      </c>
      <c r="J6" s="5" t="n">
        <v>4.33</v>
      </c>
      <c r="K6" s="5" t="n">
        <v>1.89</v>
      </c>
      <c r="L6" s="5" t="n">
        <v>9441.959999999999</v>
      </c>
    </row>
    <row r="7">
      <c r="A7" s="5" t="inlineStr">
        <is>
          <t>Gold_Dip</t>
        </is>
      </c>
      <c r="B7" s="5" t="n">
        <v>8</v>
      </c>
      <c r="C7" s="5" t="n">
        <v>4.96</v>
      </c>
      <c r="D7" s="5">
        <f>ROUND(IF(F7&gt;0, (L7/F7)*100, 0), 2)</f>
        <v/>
      </c>
      <c r="E7" s="5">
        <f>ROUND(IF(D7&gt;0, ((1+D7/100)^(1/5.2192)-1)*100, 0), 2)</f>
        <v/>
      </c>
      <c r="F7" s="5" t="n">
        <v>5312.2</v>
      </c>
      <c r="G7" s="5">
        <f>ROUND(100/8, 2)</f>
        <v/>
      </c>
      <c r="H7" s="5" t="n">
        <v>2.71</v>
      </c>
      <c r="I7" s="5" t="n">
        <v>27.94</v>
      </c>
      <c r="J7" s="5" t="n">
        <v>8.09</v>
      </c>
      <c r="K7" s="5" t="n">
        <v>10.25</v>
      </c>
      <c r="L7" s="5" t="n">
        <v>6590.47</v>
      </c>
    </row>
    <row r="8">
      <c r="A8" s="5" t="inlineStr">
        <is>
          <t>RSI_Correlation</t>
        </is>
      </c>
      <c r="B8" s="5" t="n">
        <v>6</v>
      </c>
      <c r="C8" s="5" t="n">
        <v>0.98</v>
      </c>
      <c r="D8" s="5">
        <f>ROUND(IF(F8&gt;0, (L8/F8)*100, 0), 2)</f>
        <v/>
      </c>
      <c r="E8" s="5">
        <f>ROUND(IF(D8&gt;0, ((1+D8/100)^(1/5.9055)-1)*100, 0), 2)</f>
        <v/>
      </c>
      <c r="F8" s="5" t="n">
        <v>206.04</v>
      </c>
      <c r="G8" s="5">
        <f>ROUND(100/8, 2)</f>
        <v/>
      </c>
      <c r="H8" s="5" t="n">
        <v>69.97</v>
      </c>
      <c r="I8" s="5" t="n">
        <v>5.52</v>
      </c>
      <c r="J8" s="5" t="n">
        <v>41.21</v>
      </c>
      <c r="K8" s="5" t="n">
        <v>33.56</v>
      </c>
      <c r="L8" s="5" t="n">
        <v>164.25</v>
      </c>
    </row>
    <row r="9">
      <c r="A9" s="5" t="inlineStr">
        <is>
          <t>RSI_6_Trades</t>
        </is>
      </c>
      <c r="B9" s="5" t="n">
        <v>15</v>
      </c>
      <c r="C9" s="5" t="n">
        <v>1.83</v>
      </c>
      <c r="D9" s="5">
        <f>ROUND(IF(F9&gt;0, (L9/F9)*100, 0), 2)</f>
        <v/>
      </c>
      <c r="E9" s="5">
        <f>ROUND(IF(D9&gt;0, ((1+D9/100)^(1/5.5313)-1)*100, 0), 2)</f>
        <v/>
      </c>
      <c r="F9" s="5" t="n">
        <v>15494.74</v>
      </c>
      <c r="G9" s="5">
        <f>ROUND(100/8, 2)</f>
        <v/>
      </c>
      <c r="H9" s="5" t="n">
        <v>0.93</v>
      </c>
      <c r="I9" s="5" t="n">
        <v>10.32</v>
      </c>
      <c r="J9" s="5" t="n">
        <v>4.33</v>
      </c>
      <c r="K9" s="5" t="n">
        <v>0.37</v>
      </c>
      <c r="L9" s="5" t="n">
        <v>5461.52</v>
      </c>
    </row>
    <row r="10">
      <c r="A10" s="5" t="inlineStr">
        <is>
          <t>AURUM</t>
        </is>
      </c>
      <c r="B10" s="5" t="n">
        <v>2</v>
      </c>
      <c r="C10" s="5" t="n">
        <v>3.88</v>
      </c>
      <c r="D10" s="5">
        <f>ROUND(IF(F10&gt;0, (L10/F10)*100, 0), 2)</f>
        <v/>
      </c>
      <c r="E10" s="5">
        <f>ROUND(IF(D10&gt;0, ((1+D10/100)^(1/5.7274)-1)*100, 0), 2)</f>
        <v/>
      </c>
      <c r="F10" s="5" t="n">
        <v>20142</v>
      </c>
      <c r="G10" s="5">
        <f>ROUND(100/8, 2)</f>
        <v/>
      </c>
      <c r="H10" s="5" t="n">
        <v>0.72</v>
      </c>
      <c r="I10" s="5" t="n">
        <v>21.88</v>
      </c>
      <c r="J10" s="5" t="n">
        <v>4.33</v>
      </c>
      <c r="K10" s="5" t="n">
        <v>2.35</v>
      </c>
      <c r="L10" s="5" t="n">
        <v>27715.57</v>
      </c>
    </row>
    <row r="11">
      <c r="A11" s="5" t="inlineStr">
        <is>
          <t>PairTradingEA</t>
        </is>
      </c>
      <c r="B11" s="5" t="n">
        <v>5</v>
      </c>
      <c r="C11" s="5" t="n">
        <v>0.86</v>
      </c>
      <c r="D11" s="5">
        <f>ROUND(IF(F11&gt;0, (L11/F11)*100, 0), 2)</f>
        <v/>
      </c>
      <c r="E11" s="5">
        <f>ROUND(IF(D11&gt;0, ((1+D11/100)^(1/5.6811)-1)*100, 0), 2)</f>
        <v/>
      </c>
      <c r="F11" s="5" t="n">
        <v>25358</v>
      </c>
      <c r="G11" s="5">
        <f>ROUND(100/8, 2)</f>
        <v/>
      </c>
      <c r="H11" s="5" t="n">
        <v>0.57</v>
      </c>
      <c r="I11" s="5" t="n">
        <v>4.87</v>
      </c>
      <c r="J11" s="5" t="n">
        <v>4.33</v>
      </c>
      <c r="K11" s="5" t="n">
        <v>0.43</v>
      </c>
      <c r="L11" s="5" t="n">
        <v>36428.76</v>
      </c>
    </row>
    <row r="12">
      <c r="A12" s="5" t="inlineStr">
        <is>
          <t>Reversal_Strategy</t>
        </is>
      </c>
      <c r="B12" s="5" t="n">
        <v>1</v>
      </c>
      <c r="C12" s="5" t="n">
        <v>2.71</v>
      </c>
      <c r="D12" s="5">
        <f>ROUND(IF(F12&gt;0, (L12/F12)*100, 0), 2)</f>
        <v/>
      </c>
      <c r="E12" s="5">
        <f>ROUND(IF(D12&gt;0, ((1+D12/100)^(1/5.9890)-1)*100, 0), 2)</f>
        <v/>
      </c>
      <c r="F12" s="5" t="n">
        <v>820</v>
      </c>
      <c r="G12" s="5">
        <f>ROUND(100/8, 2)</f>
        <v/>
      </c>
      <c r="H12" s="5" t="n">
        <v>17.58</v>
      </c>
      <c r="I12" s="5" t="n">
        <v>15.26</v>
      </c>
      <c r="J12" s="5" t="n">
        <v>28.62</v>
      </c>
      <c r="K12" s="5" t="n">
        <v>42.82</v>
      </c>
      <c r="L12" s="5" t="n">
        <v>1200.98</v>
      </c>
    </row>
    <row r="13">
      <c r="A13" s="23" t="inlineStr">
        <is>
          <t>TOTAL</t>
        </is>
      </c>
      <c r="B13" s="23">
        <f>SUM(B5:B12)</f>
        <v/>
      </c>
      <c r="C13" s="23" t="n"/>
      <c r="D13" s="23" t="n"/>
      <c r="E13" s="23" t="n"/>
      <c r="F13" s="23">
        <f>ROUND(SUM(F5:F12), 2)</f>
        <v/>
      </c>
      <c r="G13" s="23">
        <f>ROUND(SUM(G5:G12), 2)</f>
        <v/>
      </c>
      <c r="H13" s="23">
        <f>ROUND(SUM(H5:H12), 2)</f>
        <v/>
      </c>
      <c r="I13" s="23">
        <f>ROUND(SUM(I5:I12), 2)</f>
        <v/>
      </c>
      <c r="J13" s="23">
        <f>ROUND(SUM(J5:J12), 2)</f>
        <v/>
      </c>
      <c r="K13" s="23">
        <f>ROUND(SUM(K5:K12), 2)</f>
        <v/>
      </c>
      <c r="L13" s="23">
        <f>ROUND(SUM(L5:L12), 2)</f>
        <v/>
      </c>
    </row>
    <row r="16">
      <c r="A16" s="11" t="inlineStr">
        <is>
          <t>FINAL PORTFOLIO METRICS BY ALLOCATION METHOD</t>
        </is>
      </c>
      <c r="B16" s="11" t="n"/>
      <c r="C16" s="11" t="n"/>
      <c r="D16" s="11" t="n"/>
      <c r="E16" s="11" t="n"/>
      <c r="F16" s="11" t="n"/>
      <c r="G16" s="11" t="n"/>
    </row>
    <row r="17">
      <c r="A17" s="15" t="inlineStr">
        <is>
          <t>Use this table to compare what your final portfolio would look like with each allocation method</t>
        </is>
      </c>
    </row>
    <row r="18">
      <c r="A18" s="8" t="inlineStr">
        <is>
          <t>Allocation_Method</t>
        </is>
      </c>
      <c r="B18" s="8" t="inlineStr">
        <is>
          <t>Portfolio_Sharpe</t>
        </is>
      </c>
      <c r="C18" s="8" t="inlineStr">
        <is>
          <t>Portfolio_XIRR_%</t>
        </is>
      </c>
      <c r="D18" s="8" t="inlineStr">
        <is>
          <t>Total_Capital_$</t>
        </is>
      </c>
      <c r="E18" s="8" t="inlineStr">
        <is>
          <t>Expected_Profit_$</t>
        </is>
      </c>
      <c r="F18" s="8" t="inlineStr">
        <is>
          <t>Overall_Return_%</t>
        </is>
      </c>
      <c r="G18" s="8" t="inlineStr">
        <is>
          <t>Rating</t>
        </is>
      </c>
    </row>
    <row r="19">
      <c r="A19" s="25" t="inlineStr">
        <is>
          <t>Equal_Weight</t>
        </is>
      </c>
      <c r="B19" s="5">
        <f>ROUND(SUMPRODUCT(G5:G12/100, C5:C12), 2)</f>
        <v/>
      </c>
      <c r="C19" s="5">
        <f>ROUND(SUMPRODUCT(G5:G12/100, E5:E12), 2)</f>
        <v/>
      </c>
      <c r="D19" s="5">
        <f>ROUND(F13, 2)</f>
        <v/>
      </c>
      <c r="E19" s="5">
        <f>ROUND(F13 * SUMPRODUCT(G5:G12/100, D5:D12) / 100, 2)</f>
        <v/>
      </c>
      <c r="F19" s="5">
        <f>ROUND(SUMPRODUCT(G5:G12/100, D5:D12), 2)</f>
        <v/>
      </c>
      <c r="G19" s="5">
        <f>IF(B19&gt;=1.5,"★★★★★",IF(B19&gt;=1,"★★★★",IF(B19&gt;=0.5,"★★★",IF(B19&gt;=0.25,"★★","★"))))</f>
        <v/>
      </c>
    </row>
    <row r="20">
      <c r="A20" s="25" t="inlineStr">
        <is>
          <t>Inverse_Volatility</t>
        </is>
      </c>
      <c r="B20" s="5">
        <f>ROUND(SUMPRODUCT(H5:H12/100, C5:C12), 2)</f>
        <v/>
      </c>
      <c r="C20" s="5">
        <f>ROUND(SUMPRODUCT(H5:H12/100, E5:E12), 2)</f>
        <v/>
      </c>
      <c r="D20" s="5">
        <f>ROUND(F13, 2)</f>
        <v/>
      </c>
      <c r="E20" s="5">
        <f>ROUND(F13 * SUMPRODUCT(H5:H12/100, D5:D12) / 100, 2)</f>
        <v/>
      </c>
      <c r="F20" s="5">
        <f>ROUND(SUMPRODUCT(H5:H12/100, D5:D12), 2)</f>
        <v/>
      </c>
      <c r="G20" s="5">
        <f>IF(B20&gt;=1.5,"★★★★★",IF(B20&gt;=1,"★★★★",IF(B20&gt;=0.5,"★★★",IF(B20&gt;=0.25,"★★","★"))))</f>
        <v/>
      </c>
    </row>
    <row r="21">
      <c r="A21" s="25" t="inlineStr">
        <is>
          <t>Sharpe_Weighted</t>
        </is>
      </c>
      <c r="B21" s="5">
        <f>ROUND(SUMPRODUCT(I5:I12/100, C5:C12), 2)</f>
        <v/>
      </c>
      <c r="C21" s="5">
        <f>ROUND(SUMPRODUCT(I5:I12/100, E5:E12), 2)</f>
        <v/>
      </c>
      <c r="D21" s="5">
        <f>ROUND(F13, 2)</f>
        <v/>
      </c>
      <c r="E21" s="5">
        <f>ROUND(F13 * SUMPRODUCT(I5:I12/100, D5:D12) / 100, 2)</f>
        <v/>
      </c>
      <c r="F21" s="5">
        <f>ROUND(SUMPRODUCT(I5:I12/100, D5:D12), 2)</f>
        <v/>
      </c>
      <c r="G21" s="5">
        <f>IF(B21&gt;=1.5,"★★★★★",IF(B21&gt;=1,"★★★★",IF(B21&gt;=0.5,"★★★",IF(B21&gt;=0.25,"★★","★"))))</f>
        <v/>
      </c>
    </row>
    <row r="22">
      <c r="A22" s="25" t="inlineStr">
        <is>
          <t>Risk_Parity</t>
        </is>
      </c>
      <c r="B22" s="5">
        <f>ROUND(SUMPRODUCT(J5:J12/100, C5:C12), 2)</f>
        <v/>
      </c>
      <c r="C22" s="5">
        <f>ROUND(SUMPRODUCT(J5:J12/100, E5:E12), 2)</f>
        <v/>
      </c>
      <c r="D22" s="5">
        <f>ROUND(F13, 2)</f>
        <v/>
      </c>
      <c r="E22" s="5">
        <f>ROUND(F13 * SUMPRODUCT(J5:J12/100, D5:D12) / 100, 2)</f>
        <v/>
      </c>
      <c r="F22" s="5">
        <f>ROUND(SUMPRODUCT(J5:J12/100, D5:D12), 2)</f>
        <v/>
      </c>
      <c r="G22" s="5">
        <f>IF(B22&gt;=1.5,"★★★★★",IF(B22&gt;=1,"★★★★",IF(B22&gt;=0.5,"★★★",IF(B22&gt;=0.25,"★★","★"))))</f>
        <v/>
      </c>
    </row>
    <row r="23">
      <c r="A23" s="25" t="inlineStr">
        <is>
          <t>Max_Sharpe</t>
        </is>
      </c>
      <c r="B23" s="5">
        <f>ROUND(SUMPRODUCT(K5:K12/100, C5:C12), 2)</f>
        <v/>
      </c>
      <c r="C23" s="5">
        <f>ROUND(SUMPRODUCT(K5:K12/100, E5:E12), 2)</f>
        <v/>
      </c>
      <c r="D23" s="5">
        <f>ROUND(F13, 2)</f>
        <v/>
      </c>
      <c r="E23" s="5">
        <f>ROUND(F13 * SUMPRODUCT(K5:K12/100, D5:D12) / 100, 2)</f>
        <v/>
      </c>
      <c r="F23" s="5">
        <f>ROUND(SUMPRODUCT(K5:K12/100, D5:D12), 2)</f>
        <v/>
      </c>
      <c r="G23" s="5">
        <f>IF(B23&gt;=1.5,"★★★★★",IF(B23&gt;=1,"★★★★",IF(B23&gt;=0.5,"★★★",IF(B23&gt;=0.25,"★★","★"))))</f>
        <v/>
      </c>
    </row>
    <row r="26">
      <c r="A26" s="26" t="inlineStr">
        <is>
          <t>RECOMMENDATION:</t>
        </is>
      </c>
      <c r="B26" t="inlineStr">
        <is>
          <t>Select the allocation method with highest Portfolio Sharpe for risk-adjusted returns</t>
        </is>
      </c>
    </row>
  </sheetData>
  <mergeCells count="5">
    <mergeCell ref="A17:G17"/>
    <mergeCell ref="A1:L1"/>
    <mergeCell ref="A16:G16"/>
    <mergeCell ref="B26:G26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2026-01-02T18:55:16Z</dcterms:created>
  <dcterms:modified xmlns:dcterms="http://purl.org/dc/terms/" xmlns:xsi="http://www.w3.org/2001/XMLSchema-instance" xsi:type="dcterms:W3CDTF">2026-01-02T18:55:16Z</dcterms:modified>
</cp:coreProperties>
</file>